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progamacao\equatorial_automacao\data\Modelo\"/>
    </mc:Choice>
  </mc:AlternateContent>
  <bookViews>
    <workbookView xWindow="0" yWindow="0" windowWidth="14370" windowHeight="7365" activeTab="2"/>
  </bookViews>
  <sheets>
    <sheet name="Roteiro" sheetId="3" r:id="rId1"/>
    <sheet name="Cad.Usinas" sheetId="4" r:id="rId2"/>
    <sheet name="Cad.RateioConsumo" sheetId="5" r:id="rId3"/>
    <sheet name="Hist.Geração" sheetId="7" r:id="rId4"/>
    <sheet name="Hist.Consum" sheetId="8" r:id="rId5"/>
    <sheet name="Medições" sheetId="9" r:id="rId6"/>
    <sheet name="Faturas" sheetId="10" r:id="rId7"/>
    <sheet name="Hist.BT" sheetId="12" r:id="rId8"/>
    <sheet name="e-mail" sheetId="15" r:id="rId9"/>
    <sheet name="e-mail medição" sheetId="16" r:id="rId10"/>
  </sheets>
  <definedNames>
    <definedName name="_xlnm._FilterDatabase" localSheetId="4" hidden="1">Hist.Consum!$A$4:$AC$104</definedName>
    <definedName name="_xlnm._FilterDatabase" localSheetId="5" hidden="1">Medições!$B$3:$AF$84</definedName>
    <definedName name="_xlnm.Print_Area" localSheetId="6">Faturas!$Q$3:$AG$50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bvWIVFY59LsE9o2wgRB/F8BY4Sqwk4JNs3pOMFKvmzk="/>
    </ext>
  </extLst>
</workbook>
</file>

<file path=xl/calcChain.xml><?xml version="1.0" encoding="utf-8"?>
<calcChain xmlns="http://schemas.openxmlformats.org/spreadsheetml/2006/main">
  <c r="W13" i="8" l="1"/>
  <c r="Q13" i="8"/>
  <c r="R13" i="8" s="1"/>
  <c r="O13" i="8"/>
  <c r="F12" i="8"/>
  <c r="G7" i="9"/>
  <c r="A11" i="7"/>
  <c r="A27" i="7"/>
  <c r="A19" i="7"/>
  <c r="M17" i="5"/>
  <c r="M16" i="5"/>
  <c r="M14" i="5"/>
  <c r="M11" i="5"/>
  <c r="M10" i="5"/>
  <c r="M9" i="5"/>
  <c r="M8" i="5"/>
  <c r="M7" i="5"/>
  <c r="B7" i="9" l="1"/>
  <c r="C7" i="9"/>
  <c r="I7" i="9"/>
  <c r="J7" i="9"/>
  <c r="D7" i="9" s="1"/>
  <c r="M7" i="9"/>
  <c r="N7" i="9"/>
  <c r="T7" i="9"/>
  <c r="AG7" i="9"/>
  <c r="B8" i="9"/>
  <c r="C8" i="9"/>
  <c r="G8" i="9"/>
  <c r="I8" i="9"/>
  <c r="J8" i="9"/>
  <c r="M8" i="9"/>
  <c r="N8" i="9"/>
  <c r="O8" i="9" s="1"/>
  <c r="T8" i="9"/>
  <c r="AG8" i="9"/>
  <c r="AG15" i="9"/>
  <c r="T15" i="9"/>
  <c r="N15" i="9"/>
  <c r="M15" i="9"/>
  <c r="J15" i="9"/>
  <c r="I15" i="9"/>
  <c r="G15" i="9"/>
  <c r="C15" i="9"/>
  <c r="B15" i="9"/>
  <c r="AG18" i="9"/>
  <c r="T18" i="9"/>
  <c r="M18" i="9"/>
  <c r="J18" i="9"/>
  <c r="I18" i="9"/>
  <c r="G18" i="9"/>
  <c r="C18" i="9"/>
  <c r="B18" i="9"/>
  <c r="R18" i="9" s="1"/>
  <c r="B18" i="8"/>
  <c r="D18" i="8"/>
  <c r="F18" i="8"/>
  <c r="G18" i="8"/>
  <c r="H18" i="8"/>
  <c r="I18" i="8"/>
  <c r="O18" i="8"/>
  <c r="Q18" i="8"/>
  <c r="R18" i="8" s="1"/>
  <c r="W18" i="8"/>
  <c r="AB18" i="8"/>
  <c r="AC18" i="8"/>
  <c r="B19" i="8"/>
  <c r="D19" i="8"/>
  <c r="F19" i="8"/>
  <c r="G19" i="8"/>
  <c r="H19" i="8"/>
  <c r="I19" i="8"/>
  <c r="O19" i="8"/>
  <c r="Q19" i="8"/>
  <c r="R19" i="8" s="1"/>
  <c r="W19" i="8"/>
  <c r="AB19" i="8"/>
  <c r="AC19" i="8"/>
  <c r="W16" i="5"/>
  <c r="Q16" i="5"/>
  <c r="A16" i="5" s="1"/>
  <c r="O16" i="5"/>
  <c r="I13" i="8"/>
  <c r="H13" i="8"/>
  <c r="G13" i="8"/>
  <c r="F13" i="8"/>
  <c r="Q11" i="5"/>
  <c r="A11" i="5" s="1"/>
  <c r="O11" i="5"/>
  <c r="AC13" i="8"/>
  <c r="AB13" i="8"/>
  <c r="X13" i="8"/>
  <c r="D13" i="8"/>
  <c r="B13" i="8"/>
  <c r="J17" i="9"/>
  <c r="J16" i="9"/>
  <c r="T17" i="9"/>
  <c r="T16" i="9"/>
  <c r="M17" i="9"/>
  <c r="M16" i="9"/>
  <c r="AG20" i="9"/>
  <c r="W20" i="9"/>
  <c r="B20" i="9"/>
  <c r="AG19" i="9"/>
  <c r="T19" i="9"/>
  <c r="J19" i="9"/>
  <c r="I19" i="9"/>
  <c r="G19" i="9"/>
  <c r="C19" i="9"/>
  <c r="B19" i="9"/>
  <c r="AG17" i="9"/>
  <c r="I17" i="9"/>
  <c r="G17" i="9"/>
  <c r="C17" i="9"/>
  <c r="B17" i="9"/>
  <c r="AG16" i="9"/>
  <c r="I16" i="9"/>
  <c r="G16" i="9"/>
  <c r="C16" i="9"/>
  <c r="B16" i="9"/>
  <c r="AG14" i="9"/>
  <c r="T14" i="9"/>
  <c r="M14" i="9"/>
  <c r="J14" i="9"/>
  <c r="I14" i="9"/>
  <c r="G14" i="9"/>
  <c r="C14" i="9"/>
  <c r="B14" i="9"/>
  <c r="AG13" i="9"/>
  <c r="T13" i="9"/>
  <c r="M13" i="9"/>
  <c r="J13" i="9"/>
  <c r="I13" i="9"/>
  <c r="G13" i="9"/>
  <c r="C13" i="9"/>
  <c r="B13" i="9"/>
  <c r="AG12" i="9"/>
  <c r="T12" i="9"/>
  <c r="N12" i="9"/>
  <c r="M12" i="9"/>
  <c r="J12" i="9"/>
  <c r="I12" i="9"/>
  <c r="G12" i="9"/>
  <c r="C12" i="9"/>
  <c r="B12" i="9"/>
  <c r="AG11" i="9"/>
  <c r="T11" i="9"/>
  <c r="M11" i="9"/>
  <c r="J11" i="9"/>
  <c r="I11" i="9"/>
  <c r="G11" i="9"/>
  <c r="C11" i="9"/>
  <c r="B11" i="9"/>
  <c r="AG10" i="9"/>
  <c r="T10" i="9"/>
  <c r="M10" i="9"/>
  <c r="J10" i="9"/>
  <c r="I10" i="9"/>
  <c r="G10" i="9"/>
  <c r="C10" i="9"/>
  <c r="B10" i="9"/>
  <c r="AG9" i="9"/>
  <c r="T9" i="9"/>
  <c r="J9" i="9"/>
  <c r="I9" i="9"/>
  <c r="G9" i="9"/>
  <c r="C9" i="9"/>
  <c r="B9" i="9"/>
  <c r="AG6" i="9"/>
  <c r="T6" i="9"/>
  <c r="M6" i="9"/>
  <c r="J6" i="9"/>
  <c r="I6" i="9"/>
  <c r="G6" i="9"/>
  <c r="C6" i="9"/>
  <c r="B6" i="9"/>
  <c r="AG5" i="9"/>
  <c r="T5" i="9"/>
  <c r="M5" i="9"/>
  <c r="J5" i="9"/>
  <c r="I5" i="9"/>
  <c r="G5" i="9"/>
  <c r="C5" i="9"/>
  <c r="B5" i="9"/>
  <c r="AG4" i="9"/>
  <c r="T4" i="9"/>
  <c r="J4" i="9"/>
  <c r="I4" i="9"/>
  <c r="G4" i="9"/>
  <c r="C4" i="9"/>
  <c r="B4" i="9"/>
  <c r="AC20" i="8"/>
  <c r="AB20" i="8"/>
  <c r="W20" i="8"/>
  <c r="Q20" i="8"/>
  <c r="R20" i="8" s="1"/>
  <c r="O20" i="8"/>
  <c r="G20" i="8"/>
  <c r="F20" i="8"/>
  <c r="D20" i="8"/>
  <c r="B20" i="8"/>
  <c r="AC17" i="8"/>
  <c r="AB17" i="8"/>
  <c r="W17" i="8"/>
  <c r="Q17" i="8"/>
  <c r="R17" i="8" s="1"/>
  <c r="O17" i="8"/>
  <c r="H17" i="8"/>
  <c r="G17" i="8"/>
  <c r="F17" i="8"/>
  <c r="D17" i="8"/>
  <c r="B17" i="8"/>
  <c r="AC16" i="8"/>
  <c r="AB16" i="8"/>
  <c r="X16" i="8"/>
  <c r="W16" i="8"/>
  <c r="Q16" i="8"/>
  <c r="R16" i="8" s="1"/>
  <c r="O16" i="8"/>
  <c r="H16" i="8"/>
  <c r="G16" i="8"/>
  <c r="F16" i="8"/>
  <c r="D16" i="8"/>
  <c r="B16" i="8"/>
  <c r="AC15" i="8"/>
  <c r="AB15" i="8"/>
  <c r="W15" i="8"/>
  <c r="Q15" i="8"/>
  <c r="R15" i="8" s="1"/>
  <c r="O15" i="8"/>
  <c r="G15" i="8"/>
  <c r="F15" i="8"/>
  <c r="D15" i="8"/>
  <c r="B15" i="8"/>
  <c r="AC14" i="8"/>
  <c r="AB14" i="8"/>
  <c r="W14" i="8"/>
  <c r="Q14" i="8"/>
  <c r="R14" i="8" s="1"/>
  <c r="O14" i="8"/>
  <c r="G14" i="8"/>
  <c r="F14" i="8"/>
  <c r="D14" i="8"/>
  <c r="B14" i="8"/>
  <c r="AC12" i="8"/>
  <c r="AB12" i="8"/>
  <c r="W12" i="8"/>
  <c r="Q12" i="8"/>
  <c r="R12" i="8" s="1"/>
  <c r="O12" i="8"/>
  <c r="H12" i="8"/>
  <c r="G12" i="8"/>
  <c r="D12" i="8"/>
  <c r="B12" i="8"/>
  <c r="AC11" i="8"/>
  <c r="AB11" i="8"/>
  <c r="W11" i="8"/>
  <c r="Y11" i="8" s="1"/>
  <c r="Q11" i="8"/>
  <c r="R11" i="8" s="1"/>
  <c r="O11" i="8"/>
  <c r="H11" i="8"/>
  <c r="G11" i="8"/>
  <c r="F11" i="8"/>
  <c r="D11" i="8"/>
  <c r="B11" i="8"/>
  <c r="AC10" i="8"/>
  <c r="AB10" i="8"/>
  <c r="W10" i="8"/>
  <c r="Q10" i="8"/>
  <c r="R10" i="8" s="1"/>
  <c r="O10" i="8"/>
  <c r="H10" i="8"/>
  <c r="G10" i="8"/>
  <c r="F10" i="8"/>
  <c r="D10" i="8"/>
  <c r="B10" i="8"/>
  <c r="AC9" i="8"/>
  <c r="AB9" i="8"/>
  <c r="W9" i="8"/>
  <c r="Q9" i="8"/>
  <c r="R9" i="8" s="1"/>
  <c r="O9" i="8"/>
  <c r="H9" i="8"/>
  <c r="G9" i="8"/>
  <c r="F9" i="8"/>
  <c r="D9" i="8"/>
  <c r="B9" i="8"/>
  <c r="AC8" i="8"/>
  <c r="AB8" i="8"/>
  <c r="W8" i="8"/>
  <c r="Q8" i="8"/>
  <c r="R8" i="8" s="1"/>
  <c r="O8" i="8"/>
  <c r="I8" i="8"/>
  <c r="H8" i="8"/>
  <c r="G8" i="8"/>
  <c r="F8" i="8"/>
  <c r="D8" i="8"/>
  <c r="B8" i="8"/>
  <c r="AC7" i="8"/>
  <c r="AB7" i="8"/>
  <c r="W7" i="8"/>
  <c r="Q7" i="8"/>
  <c r="R7" i="8" s="1"/>
  <c r="O7" i="8"/>
  <c r="H7" i="8"/>
  <c r="G7" i="8"/>
  <c r="F7" i="8"/>
  <c r="D7" i="8"/>
  <c r="B7" i="8"/>
  <c r="AC6" i="8"/>
  <c r="AB6" i="8"/>
  <c r="W6" i="8"/>
  <c r="Q6" i="8"/>
  <c r="R6" i="8" s="1"/>
  <c r="O6" i="8"/>
  <c r="H6" i="8"/>
  <c r="G6" i="8"/>
  <c r="F6" i="8"/>
  <c r="D6" i="8"/>
  <c r="B6" i="8"/>
  <c r="X31" i="8"/>
  <c r="E32" i="5"/>
  <c r="AC33" i="8"/>
  <c r="AB33" i="8"/>
  <c r="AC32" i="8"/>
  <c r="AB32" i="8"/>
  <c r="AC30" i="8"/>
  <c r="AB30" i="8"/>
  <c r="AC29" i="8"/>
  <c r="AB29" i="8"/>
  <c r="AC28" i="8"/>
  <c r="AB28" i="8"/>
  <c r="AC31" i="8"/>
  <c r="AB31" i="8"/>
  <c r="AC26" i="8"/>
  <c r="AB26" i="8"/>
  <c r="AC25" i="8"/>
  <c r="AB25" i="8"/>
  <c r="AC24" i="8"/>
  <c r="AB24" i="8"/>
  <c r="AC23" i="8"/>
  <c r="AB23" i="8"/>
  <c r="AC22" i="8"/>
  <c r="AB22" i="8"/>
  <c r="AC27" i="8"/>
  <c r="AB27" i="8"/>
  <c r="N27" i="9"/>
  <c r="T32" i="9"/>
  <c r="T29" i="9"/>
  <c r="T28" i="9"/>
  <c r="T26" i="9"/>
  <c r="T25" i="9"/>
  <c r="T24" i="9"/>
  <c r="T23" i="9"/>
  <c r="T22" i="9"/>
  <c r="T21" i="9"/>
  <c r="T27" i="9"/>
  <c r="W24" i="8"/>
  <c r="AG33" i="9"/>
  <c r="W33" i="9"/>
  <c r="B33" i="9"/>
  <c r="AG32" i="9"/>
  <c r="J32" i="9"/>
  <c r="I32" i="9"/>
  <c r="G32" i="9"/>
  <c r="C32" i="9"/>
  <c r="B32" i="9"/>
  <c r="AG31" i="9"/>
  <c r="I31" i="9"/>
  <c r="G31" i="9"/>
  <c r="C31" i="9"/>
  <c r="B31" i="9"/>
  <c r="AG30" i="9"/>
  <c r="I30" i="9"/>
  <c r="G30" i="9"/>
  <c r="D30" i="9" s="1"/>
  <c r="C30" i="9"/>
  <c r="B30" i="9"/>
  <c r="AG29" i="9"/>
  <c r="M29" i="9"/>
  <c r="J29" i="9"/>
  <c r="I29" i="9"/>
  <c r="G29" i="9"/>
  <c r="C29" i="9"/>
  <c r="B29" i="9"/>
  <c r="AG28" i="9"/>
  <c r="M28" i="9"/>
  <c r="J28" i="9"/>
  <c r="I28" i="9"/>
  <c r="G28" i="9"/>
  <c r="C28" i="9"/>
  <c r="B28" i="9"/>
  <c r="AG27" i="9"/>
  <c r="M27" i="9"/>
  <c r="J27" i="9"/>
  <c r="I27" i="9"/>
  <c r="G27" i="9"/>
  <c r="C27" i="9"/>
  <c r="B27" i="9"/>
  <c r="AG26" i="9"/>
  <c r="M26" i="9"/>
  <c r="J26" i="9"/>
  <c r="I26" i="9"/>
  <c r="G26" i="9"/>
  <c r="C26" i="9"/>
  <c r="B26" i="9"/>
  <c r="AG25" i="9"/>
  <c r="M25" i="9"/>
  <c r="J25" i="9"/>
  <c r="I25" i="9"/>
  <c r="G25" i="9"/>
  <c r="C25" i="9"/>
  <c r="B25" i="9"/>
  <c r="AG24" i="9"/>
  <c r="J24" i="9"/>
  <c r="I24" i="9"/>
  <c r="G24" i="9"/>
  <c r="C24" i="9"/>
  <c r="B24" i="9"/>
  <c r="AG23" i="9"/>
  <c r="M23" i="9"/>
  <c r="J23" i="9"/>
  <c r="I23" i="9"/>
  <c r="G23" i="9"/>
  <c r="C23" i="9"/>
  <c r="B23" i="9"/>
  <c r="AG22" i="9"/>
  <c r="M22" i="9"/>
  <c r="J22" i="9"/>
  <c r="I22" i="9"/>
  <c r="G22" i="9"/>
  <c r="C22" i="9"/>
  <c r="B22" i="9"/>
  <c r="AG21" i="9"/>
  <c r="J21" i="9"/>
  <c r="I21" i="9"/>
  <c r="G21" i="9"/>
  <c r="C21" i="9"/>
  <c r="B21" i="9"/>
  <c r="W23" i="8"/>
  <c r="N40" i="9"/>
  <c r="Q33" i="8"/>
  <c r="R33" i="8" s="1"/>
  <c r="O33" i="8"/>
  <c r="Q32" i="8"/>
  <c r="R32" i="8" s="1"/>
  <c r="O32" i="8"/>
  <c r="Q31" i="8"/>
  <c r="R31" i="8" s="1"/>
  <c r="O31" i="8"/>
  <c r="Q30" i="8"/>
  <c r="R30" i="8" s="1"/>
  <c r="O30" i="8"/>
  <c r="Q29" i="8"/>
  <c r="R29" i="8" s="1"/>
  <c r="O29" i="8"/>
  <c r="Q28" i="8"/>
  <c r="R28" i="8" s="1"/>
  <c r="O28" i="8"/>
  <c r="Q27" i="8"/>
  <c r="R27" i="8" s="1"/>
  <c r="O27" i="8"/>
  <c r="Q26" i="8"/>
  <c r="R26" i="8" s="1"/>
  <c r="O26" i="8"/>
  <c r="Q24" i="8"/>
  <c r="R24" i="8" s="1"/>
  <c r="O24" i="8"/>
  <c r="Q23" i="8"/>
  <c r="R23" i="8" s="1"/>
  <c r="O23" i="8"/>
  <c r="Q22" i="8"/>
  <c r="R22" i="8" s="1"/>
  <c r="O22" i="8"/>
  <c r="W33" i="8"/>
  <c r="G33" i="8"/>
  <c r="F33" i="8"/>
  <c r="D33" i="8"/>
  <c r="B33" i="8"/>
  <c r="W32" i="8"/>
  <c r="H32" i="8"/>
  <c r="G32" i="8"/>
  <c r="F32" i="8"/>
  <c r="D32" i="8"/>
  <c r="B32" i="8"/>
  <c r="W31" i="8"/>
  <c r="H31" i="8"/>
  <c r="G31" i="8"/>
  <c r="F31" i="8"/>
  <c r="D31" i="8"/>
  <c r="B31" i="8"/>
  <c r="W30" i="8"/>
  <c r="G30" i="8"/>
  <c r="F30" i="8"/>
  <c r="D30" i="8"/>
  <c r="B30" i="8"/>
  <c r="W29" i="8"/>
  <c r="G29" i="8"/>
  <c r="F29" i="8"/>
  <c r="D29" i="8"/>
  <c r="B29" i="8"/>
  <c r="W28" i="8"/>
  <c r="H28" i="8"/>
  <c r="G28" i="8"/>
  <c r="F28" i="8"/>
  <c r="D28" i="8"/>
  <c r="B28" i="8"/>
  <c r="W27" i="8"/>
  <c r="Y27" i="8" s="1"/>
  <c r="H27" i="8"/>
  <c r="G27" i="8"/>
  <c r="F27" i="8"/>
  <c r="D27" i="8"/>
  <c r="B27" i="8"/>
  <c r="W26" i="8"/>
  <c r="H26" i="8"/>
  <c r="G26" i="8"/>
  <c r="F26" i="8"/>
  <c r="D26" i="8"/>
  <c r="B26" i="8"/>
  <c r="W25" i="8"/>
  <c r="Q25" i="8"/>
  <c r="R25" i="8" s="1"/>
  <c r="O25" i="8"/>
  <c r="I25" i="8"/>
  <c r="H25" i="8"/>
  <c r="G25" i="8"/>
  <c r="F25" i="8"/>
  <c r="D25" i="8"/>
  <c r="B25" i="8"/>
  <c r="I24" i="8"/>
  <c r="H24" i="8"/>
  <c r="G24" i="8"/>
  <c r="F24" i="8"/>
  <c r="D24" i="8"/>
  <c r="B24" i="8"/>
  <c r="H23" i="8"/>
  <c r="G23" i="8"/>
  <c r="F23" i="8"/>
  <c r="D23" i="8"/>
  <c r="B23" i="8"/>
  <c r="W22" i="8"/>
  <c r="H22" i="8"/>
  <c r="G22" i="8"/>
  <c r="F22" i="8"/>
  <c r="D22" i="8"/>
  <c r="B22" i="8"/>
  <c r="A25" i="7"/>
  <c r="A18" i="7"/>
  <c r="A10" i="7"/>
  <c r="X44" i="8"/>
  <c r="S44" i="8"/>
  <c r="AS14" i="10"/>
  <c r="W42" i="8"/>
  <c r="W41" i="8"/>
  <c r="W40" i="8"/>
  <c r="Y40" i="8" s="1"/>
  <c r="S40" i="8"/>
  <c r="W50" i="8"/>
  <c r="W51" i="8"/>
  <c r="M4" i="16"/>
  <c r="M3" i="16"/>
  <c r="M2" i="16"/>
  <c r="C4" i="15"/>
  <c r="B4" i="15"/>
  <c r="C3" i="15"/>
  <c r="B3" i="15"/>
  <c r="C2" i="15"/>
  <c r="B2" i="15"/>
  <c r="I6" i="12"/>
  <c r="I5" i="12"/>
  <c r="I4" i="12"/>
  <c r="I3" i="12"/>
  <c r="AJ32" i="10"/>
  <c r="AJ31" i="10"/>
  <c r="Z28" i="10"/>
  <c r="AQ25" i="10"/>
  <c r="AR25" i="10" s="1"/>
  <c r="AV23" i="10"/>
  <c r="AV22" i="10"/>
  <c r="AU22" i="10"/>
  <c r="AR23" i="10"/>
  <c r="AV21" i="10"/>
  <c r="AU21" i="10"/>
  <c r="AR22" i="10"/>
  <c r="AV20" i="10"/>
  <c r="AU20" i="10"/>
  <c r="AR21" i="10"/>
  <c r="AV19" i="10"/>
  <c r="AV24" i="10" s="1"/>
  <c r="AU19" i="10"/>
  <c r="AR20" i="10"/>
  <c r="AV15" i="10"/>
  <c r="X6" i="10"/>
  <c r="AJ4" i="10"/>
  <c r="V4" i="10"/>
  <c r="AG84" i="9"/>
  <c r="B84" i="9"/>
  <c r="AG83" i="9"/>
  <c r="V83" i="9"/>
  <c r="R83" i="9"/>
  <c r="Q83" i="9"/>
  <c r="P83" i="9"/>
  <c r="J83" i="9"/>
  <c r="I83" i="9"/>
  <c r="G83" i="9"/>
  <c r="C83" i="9"/>
  <c r="B83" i="9"/>
  <c r="AG82" i="9"/>
  <c r="V82" i="9"/>
  <c r="J82" i="9"/>
  <c r="I82" i="9"/>
  <c r="G82" i="9"/>
  <c r="C82" i="9"/>
  <c r="B82" i="9"/>
  <c r="AG81" i="9"/>
  <c r="V81" i="9"/>
  <c r="J81" i="9"/>
  <c r="I81" i="9"/>
  <c r="G81" i="9"/>
  <c r="C81" i="9"/>
  <c r="B81" i="9"/>
  <c r="AG80" i="9"/>
  <c r="B80" i="9"/>
  <c r="AG79" i="9"/>
  <c r="V79" i="9"/>
  <c r="R79" i="9"/>
  <c r="Q79" i="9"/>
  <c r="P79" i="9"/>
  <c r="J79" i="9"/>
  <c r="I79" i="9"/>
  <c r="G79" i="9"/>
  <c r="C79" i="9"/>
  <c r="B79" i="9"/>
  <c r="AG78" i="9"/>
  <c r="V78" i="9"/>
  <c r="J78" i="9"/>
  <c r="I78" i="9"/>
  <c r="G78" i="9"/>
  <c r="C78" i="9"/>
  <c r="B78" i="9"/>
  <c r="AG77" i="9"/>
  <c r="V77" i="9"/>
  <c r="J77" i="9"/>
  <c r="I77" i="9"/>
  <c r="G77" i="9"/>
  <c r="C77" i="9"/>
  <c r="B77" i="9"/>
  <c r="AG76" i="9"/>
  <c r="B76" i="9"/>
  <c r="AG75" i="9"/>
  <c r="T75" i="9"/>
  <c r="R75" i="9"/>
  <c r="Q75" i="9"/>
  <c r="P75" i="9"/>
  <c r="J75" i="9"/>
  <c r="I75" i="9"/>
  <c r="G75" i="9"/>
  <c r="C75" i="9"/>
  <c r="B75" i="9"/>
  <c r="AG74" i="9"/>
  <c r="T74" i="9"/>
  <c r="M74" i="9"/>
  <c r="J74" i="9"/>
  <c r="I74" i="9"/>
  <c r="G74" i="9"/>
  <c r="C74" i="9"/>
  <c r="B74" i="9"/>
  <c r="AG73" i="9"/>
  <c r="T73" i="9"/>
  <c r="M73" i="9"/>
  <c r="J73" i="9"/>
  <c r="I73" i="9"/>
  <c r="G73" i="9"/>
  <c r="C73" i="9"/>
  <c r="B73" i="9"/>
  <c r="AG72" i="9"/>
  <c r="T72" i="9"/>
  <c r="M72" i="9"/>
  <c r="J72" i="9"/>
  <c r="I72" i="9"/>
  <c r="G72" i="9"/>
  <c r="C72" i="9"/>
  <c r="B72" i="9"/>
  <c r="AG71" i="9"/>
  <c r="T71" i="9"/>
  <c r="M71" i="9"/>
  <c r="J71" i="9"/>
  <c r="I71" i="9"/>
  <c r="G71" i="9"/>
  <c r="C71" i="9"/>
  <c r="B71" i="9"/>
  <c r="AG70" i="9"/>
  <c r="T70" i="9"/>
  <c r="U70" i="9" s="1"/>
  <c r="S70" i="9"/>
  <c r="J70" i="9"/>
  <c r="I70" i="9"/>
  <c r="G70" i="9"/>
  <c r="C70" i="9"/>
  <c r="B70" i="9"/>
  <c r="AG69" i="9"/>
  <c r="T69" i="9"/>
  <c r="U69" i="9" s="1"/>
  <c r="S69" i="9"/>
  <c r="J69" i="9"/>
  <c r="I69" i="9"/>
  <c r="G69" i="9"/>
  <c r="C69" i="9"/>
  <c r="B69" i="9"/>
  <c r="AG68" i="9"/>
  <c r="W68" i="9"/>
  <c r="B68" i="9"/>
  <c r="AG67" i="9"/>
  <c r="T67" i="9"/>
  <c r="J67" i="9"/>
  <c r="I67" i="9"/>
  <c r="G67" i="9"/>
  <c r="C67" i="9"/>
  <c r="B67" i="9"/>
  <c r="AG66" i="9"/>
  <c r="T66" i="9"/>
  <c r="M66" i="9"/>
  <c r="J66" i="9"/>
  <c r="I66" i="9"/>
  <c r="G66" i="9"/>
  <c r="C66" i="9"/>
  <c r="B66" i="9"/>
  <c r="AG65" i="9"/>
  <c r="T65" i="9"/>
  <c r="M65" i="9"/>
  <c r="J65" i="9"/>
  <c r="I65" i="9"/>
  <c r="G65" i="9"/>
  <c r="C65" i="9"/>
  <c r="B65" i="9"/>
  <c r="AG64" i="9"/>
  <c r="T64" i="9"/>
  <c r="M64" i="9"/>
  <c r="J64" i="9"/>
  <c r="I64" i="9"/>
  <c r="G64" i="9"/>
  <c r="C64" i="9"/>
  <c r="B64" i="9"/>
  <c r="AG63" i="9"/>
  <c r="T63" i="9"/>
  <c r="M63" i="9"/>
  <c r="J63" i="9"/>
  <c r="I63" i="9"/>
  <c r="G63" i="9"/>
  <c r="C63" i="9"/>
  <c r="B63" i="9"/>
  <c r="AG62" i="9"/>
  <c r="T62" i="9"/>
  <c r="J62" i="9"/>
  <c r="I62" i="9"/>
  <c r="G62" i="9"/>
  <c r="C62" i="9"/>
  <c r="B62" i="9"/>
  <c r="AG61" i="9"/>
  <c r="T61" i="9"/>
  <c r="M61" i="9"/>
  <c r="J61" i="9"/>
  <c r="I61" i="9"/>
  <c r="G61" i="9"/>
  <c r="C61" i="9"/>
  <c r="B61" i="9"/>
  <c r="AG60" i="9"/>
  <c r="T60" i="9"/>
  <c r="J60" i="9"/>
  <c r="I60" i="9"/>
  <c r="G60" i="9"/>
  <c r="C60" i="9"/>
  <c r="B60" i="9"/>
  <c r="AG59" i="9"/>
  <c r="W59" i="9"/>
  <c r="B59" i="9"/>
  <c r="AG58" i="9"/>
  <c r="T58" i="9"/>
  <c r="J58" i="9"/>
  <c r="I58" i="9"/>
  <c r="G58" i="9"/>
  <c r="C58" i="9"/>
  <c r="B58" i="9"/>
  <c r="AG57" i="9"/>
  <c r="T57" i="9"/>
  <c r="M57" i="9"/>
  <c r="J57" i="9"/>
  <c r="I57" i="9"/>
  <c r="G57" i="9"/>
  <c r="C57" i="9"/>
  <c r="B57" i="9"/>
  <c r="AG56" i="9"/>
  <c r="T56" i="9"/>
  <c r="M56" i="9"/>
  <c r="J56" i="9"/>
  <c r="I56" i="9"/>
  <c r="G56" i="9"/>
  <c r="C56" i="9"/>
  <c r="B56" i="9"/>
  <c r="AG55" i="9"/>
  <c r="T55" i="9"/>
  <c r="M55" i="9"/>
  <c r="J55" i="9"/>
  <c r="I55" i="9"/>
  <c r="G55" i="9"/>
  <c r="C55" i="9"/>
  <c r="B55" i="9"/>
  <c r="AG54" i="9"/>
  <c r="T54" i="9"/>
  <c r="M54" i="9"/>
  <c r="J54" i="9"/>
  <c r="I54" i="9"/>
  <c r="G54" i="9"/>
  <c r="C54" i="9"/>
  <c r="B54" i="9"/>
  <c r="AG53" i="9"/>
  <c r="T53" i="9"/>
  <c r="N53" i="9"/>
  <c r="M53" i="9"/>
  <c r="J53" i="9"/>
  <c r="I53" i="9"/>
  <c r="G53" i="9"/>
  <c r="C53" i="9"/>
  <c r="B53" i="9"/>
  <c r="AG52" i="9"/>
  <c r="T52" i="9"/>
  <c r="M52" i="9"/>
  <c r="J52" i="9"/>
  <c r="I52" i="9"/>
  <c r="G52" i="9"/>
  <c r="C52" i="9"/>
  <c r="B52" i="9"/>
  <c r="AG51" i="9"/>
  <c r="T51" i="9"/>
  <c r="M51" i="9"/>
  <c r="J51" i="9"/>
  <c r="I51" i="9"/>
  <c r="G51" i="9"/>
  <c r="C51" i="9"/>
  <c r="B51" i="9"/>
  <c r="AG50" i="9"/>
  <c r="T50" i="9"/>
  <c r="J50" i="9"/>
  <c r="I50" i="9"/>
  <c r="G50" i="9"/>
  <c r="C50" i="9"/>
  <c r="B50" i="9"/>
  <c r="AG49" i="9"/>
  <c r="T49" i="9"/>
  <c r="M49" i="9"/>
  <c r="J49" i="9"/>
  <c r="I49" i="9"/>
  <c r="G49" i="9"/>
  <c r="C49" i="9"/>
  <c r="B49" i="9"/>
  <c r="AG48" i="9"/>
  <c r="T48" i="9"/>
  <c r="M48" i="9"/>
  <c r="J48" i="9"/>
  <c r="I48" i="9"/>
  <c r="G48" i="9"/>
  <c r="C48" i="9"/>
  <c r="B48" i="9"/>
  <c r="AG47" i="9"/>
  <c r="T47" i="9"/>
  <c r="J47" i="9"/>
  <c r="I47" i="9"/>
  <c r="G47" i="9"/>
  <c r="C47" i="9"/>
  <c r="B47" i="9"/>
  <c r="AG46" i="9"/>
  <c r="W46" i="9"/>
  <c r="B46" i="9"/>
  <c r="AG45" i="9"/>
  <c r="T45" i="9"/>
  <c r="J45" i="9"/>
  <c r="I45" i="9"/>
  <c r="G45" i="9"/>
  <c r="C45" i="9"/>
  <c r="B45" i="9"/>
  <c r="AG44" i="9"/>
  <c r="T44" i="9"/>
  <c r="M44" i="9"/>
  <c r="J44" i="9"/>
  <c r="I44" i="9"/>
  <c r="G44" i="9"/>
  <c r="C44" i="9"/>
  <c r="B44" i="9"/>
  <c r="AG43" i="9"/>
  <c r="T43" i="9"/>
  <c r="M43" i="9"/>
  <c r="J43" i="9"/>
  <c r="I43" i="9"/>
  <c r="G43" i="9"/>
  <c r="C43" i="9"/>
  <c r="B43" i="9"/>
  <c r="AG42" i="9"/>
  <c r="I42" i="9"/>
  <c r="G42" i="9"/>
  <c r="C42" i="9"/>
  <c r="B42" i="9"/>
  <c r="AG41" i="9"/>
  <c r="T41" i="9"/>
  <c r="M41" i="9"/>
  <c r="J41" i="9"/>
  <c r="I41" i="9"/>
  <c r="G41" i="9"/>
  <c r="C41" i="9"/>
  <c r="B41" i="9"/>
  <c r="AG40" i="9"/>
  <c r="T40" i="9"/>
  <c r="M40" i="9"/>
  <c r="J40" i="9"/>
  <c r="I40" i="9"/>
  <c r="G40" i="9"/>
  <c r="C40" i="9"/>
  <c r="B40" i="9"/>
  <c r="AG39" i="9"/>
  <c r="T39" i="9"/>
  <c r="M39" i="9"/>
  <c r="J39" i="9"/>
  <c r="I39" i="9"/>
  <c r="G39" i="9"/>
  <c r="C39" i="9"/>
  <c r="B39" i="9"/>
  <c r="AG38" i="9"/>
  <c r="T38" i="9"/>
  <c r="M38" i="9"/>
  <c r="J38" i="9"/>
  <c r="I38" i="9"/>
  <c r="G38" i="9"/>
  <c r="C38" i="9"/>
  <c r="B38" i="9"/>
  <c r="AG37" i="9"/>
  <c r="T37" i="9"/>
  <c r="J37" i="9"/>
  <c r="I37" i="9"/>
  <c r="G37" i="9"/>
  <c r="C37" i="9"/>
  <c r="B37" i="9"/>
  <c r="AG36" i="9"/>
  <c r="T36" i="9"/>
  <c r="M36" i="9"/>
  <c r="J36" i="9"/>
  <c r="I36" i="9"/>
  <c r="G36" i="9"/>
  <c r="C36" i="9"/>
  <c r="B36" i="9"/>
  <c r="AG35" i="9"/>
  <c r="T35" i="9"/>
  <c r="M35" i="9"/>
  <c r="J35" i="9"/>
  <c r="I35" i="9"/>
  <c r="G35" i="9"/>
  <c r="C35" i="9"/>
  <c r="B35" i="9"/>
  <c r="AG34" i="9"/>
  <c r="T34" i="9"/>
  <c r="J34" i="9"/>
  <c r="I34" i="9"/>
  <c r="G34" i="9"/>
  <c r="C34" i="9"/>
  <c r="B34" i="9"/>
  <c r="G87" i="8"/>
  <c r="F87" i="8"/>
  <c r="D87" i="8"/>
  <c r="B87" i="8"/>
  <c r="G86" i="8"/>
  <c r="F86" i="8"/>
  <c r="D86" i="8"/>
  <c r="B86" i="8"/>
  <c r="G85" i="8"/>
  <c r="F85" i="8"/>
  <c r="D85" i="8"/>
  <c r="B85" i="8"/>
  <c r="G83" i="8"/>
  <c r="F83" i="8"/>
  <c r="D83" i="8"/>
  <c r="B83" i="8"/>
  <c r="G82" i="8"/>
  <c r="F82" i="8"/>
  <c r="D82" i="8"/>
  <c r="B82" i="8"/>
  <c r="G81" i="8"/>
  <c r="F81" i="8"/>
  <c r="D81" i="8"/>
  <c r="B81" i="8"/>
  <c r="G79" i="8"/>
  <c r="F79" i="8"/>
  <c r="D79" i="8"/>
  <c r="B79" i="8"/>
  <c r="G78" i="8"/>
  <c r="F78" i="8"/>
  <c r="D78" i="8"/>
  <c r="B78" i="8"/>
  <c r="W77" i="8"/>
  <c r="G77" i="8"/>
  <c r="F77" i="8"/>
  <c r="D77" i="8"/>
  <c r="B77" i="8"/>
  <c r="W76" i="8"/>
  <c r="H76" i="8"/>
  <c r="G76" i="8"/>
  <c r="F76" i="8"/>
  <c r="D76" i="8"/>
  <c r="B76" i="8"/>
  <c r="W75" i="8"/>
  <c r="H75" i="8"/>
  <c r="G75" i="8"/>
  <c r="F75" i="8"/>
  <c r="D75" i="8"/>
  <c r="B75" i="8"/>
  <c r="Q74" i="8"/>
  <c r="O74" i="8"/>
  <c r="H74" i="8"/>
  <c r="G74" i="8"/>
  <c r="F74" i="8"/>
  <c r="D74" i="8"/>
  <c r="B74" i="8"/>
  <c r="Q73" i="8"/>
  <c r="O73" i="8"/>
  <c r="I73" i="8"/>
  <c r="H73" i="8"/>
  <c r="G73" i="8"/>
  <c r="F73" i="8"/>
  <c r="D73" i="8"/>
  <c r="B73" i="8"/>
  <c r="Q72" i="8"/>
  <c r="O72" i="8"/>
  <c r="H72" i="8"/>
  <c r="G72" i="8"/>
  <c r="F72" i="8"/>
  <c r="D72" i="8"/>
  <c r="B72" i="8"/>
  <c r="Q71" i="8"/>
  <c r="O71" i="8"/>
  <c r="H71" i="8"/>
  <c r="G71" i="8"/>
  <c r="F71" i="8"/>
  <c r="D71" i="8"/>
  <c r="B71" i="8"/>
  <c r="W69" i="8"/>
  <c r="G69" i="8"/>
  <c r="F69" i="8"/>
  <c r="D69" i="8"/>
  <c r="B69" i="8"/>
  <c r="H68" i="8"/>
  <c r="G68" i="8"/>
  <c r="F68" i="8"/>
  <c r="D68" i="8"/>
  <c r="B68" i="8"/>
  <c r="W67" i="8"/>
  <c r="G67" i="8"/>
  <c r="F67" i="8"/>
  <c r="D67" i="8"/>
  <c r="B67" i="8"/>
  <c r="W66" i="8"/>
  <c r="G66" i="8"/>
  <c r="F66" i="8"/>
  <c r="D66" i="8"/>
  <c r="B66" i="8"/>
  <c r="W65" i="8"/>
  <c r="Q65" i="8"/>
  <c r="R65" i="8" s="1"/>
  <c r="O65" i="8"/>
  <c r="H65" i="8"/>
  <c r="G65" i="8"/>
  <c r="F65" i="8"/>
  <c r="D65" i="8"/>
  <c r="B65" i="8"/>
  <c r="W64" i="8"/>
  <c r="Q64" i="8"/>
  <c r="R64" i="8" s="1"/>
  <c r="O64" i="8"/>
  <c r="I64" i="8"/>
  <c r="H64" i="8"/>
  <c r="G64" i="8"/>
  <c r="F64" i="8"/>
  <c r="D64" i="8"/>
  <c r="B64" i="8"/>
  <c r="W63" i="8"/>
  <c r="Q63" i="8"/>
  <c r="R63" i="8" s="1"/>
  <c r="O63" i="8"/>
  <c r="H63" i="8"/>
  <c r="G63" i="8"/>
  <c r="F63" i="8"/>
  <c r="D63" i="8"/>
  <c r="B63" i="8"/>
  <c r="W62" i="8"/>
  <c r="Q62" i="8"/>
  <c r="R62" i="8" s="1"/>
  <c r="O62" i="8"/>
  <c r="H62" i="8"/>
  <c r="G62" i="8"/>
  <c r="F62" i="8"/>
  <c r="D62" i="8"/>
  <c r="B62" i="8"/>
  <c r="W59" i="8"/>
  <c r="G59" i="8"/>
  <c r="F59" i="8"/>
  <c r="D59" i="8"/>
  <c r="B59" i="8"/>
  <c r="X58" i="8"/>
  <c r="W58" i="8"/>
  <c r="Q58" i="8" s="1"/>
  <c r="R58" i="8" s="1"/>
  <c r="H58" i="8"/>
  <c r="G58" i="8"/>
  <c r="F58" i="8"/>
  <c r="D58" i="8"/>
  <c r="B58" i="8"/>
  <c r="X57" i="8"/>
  <c r="W57" i="8"/>
  <c r="Q57" i="8" s="1"/>
  <c r="R57" i="8" s="1"/>
  <c r="H57" i="8"/>
  <c r="G57" i="8"/>
  <c r="F57" i="8"/>
  <c r="D57" i="8"/>
  <c r="B57" i="8"/>
  <c r="W56" i="8"/>
  <c r="G56" i="8"/>
  <c r="F56" i="8"/>
  <c r="D56" i="8"/>
  <c r="B56" i="8"/>
  <c r="W55" i="8"/>
  <c r="G55" i="8"/>
  <c r="F55" i="8"/>
  <c r="D55" i="8"/>
  <c r="B55" i="8"/>
  <c r="W54" i="8"/>
  <c r="Q54" i="8"/>
  <c r="R54" i="8" s="1"/>
  <c r="O54" i="8"/>
  <c r="H54" i="8"/>
  <c r="G54" i="8"/>
  <c r="F54" i="8"/>
  <c r="D54" i="8"/>
  <c r="B54" i="8"/>
  <c r="W53" i="8"/>
  <c r="Q53" i="8"/>
  <c r="R53" i="8" s="1"/>
  <c r="O53" i="8"/>
  <c r="H53" i="8"/>
  <c r="G53" i="8"/>
  <c r="F53" i="8"/>
  <c r="D53" i="8"/>
  <c r="B53" i="8"/>
  <c r="W52" i="8"/>
  <c r="Q52" i="8"/>
  <c r="R52" i="8" s="1"/>
  <c r="O52" i="8"/>
  <c r="H52" i="8"/>
  <c r="G52" i="8"/>
  <c r="F52" i="8"/>
  <c r="D52" i="8"/>
  <c r="B52" i="8"/>
  <c r="Q51" i="8"/>
  <c r="R51" i="8" s="1"/>
  <c r="O51" i="8"/>
  <c r="H51" i="8"/>
  <c r="G51" i="8"/>
  <c r="F51" i="8"/>
  <c r="D51" i="8"/>
  <c r="B51" i="8"/>
  <c r="Q50" i="8"/>
  <c r="R50" i="8" s="1"/>
  <c r="O50" i="8"/>
  <c r="I50" i="8"/>
  <c r="H50" i="8"/>
  <c r="G50" i="8"/>
  <c r="F50" i="8"/>
  <c r="D50" i="8"/>
  <c r="B50" i="8"/>
  <c r="W49" i="8"/>
  <c r="Q49" i="8"/>
  <c r="R49" i="8" s="1"/>
  <c r="O49" i="8"/>
  <c r="H49" i="8"/>
  <c r="G49" i="8"/>
  <c r="F49" i="8"/>
  <c r="D49" i="8"/>
  <c r="B49" i="8"/>
  <c r="W48" i="8"/>
  <c r="Q48" i="8"/>
  <c r="R48" i="8" s="1"/>
  <c r="O48" i="8"/>
  <c r="H48" i="8"/>
  <c r="G48" i="8"/>
  <c r="F48" i="8"/>
  <c r="D48" i="8"/>
  <c r="B48" i="8"/>
  <c r="W46" i="8"/>
  <c r="G46" i="8"/>
  <c r="F46" i="8"/>
  <c r="D46" i="8"/>
  <c r="B46" i="8"/>
  <c r="X45" i="8"/>
  <c r="W45" i="8"/>
  <c r="Q45" i="8" s="1"/>
  <c r="R45" i="8" s="1"/>
  <c r="H45" i="8"/>
  <c r="G45" i="8"/>
  <c r="F45" i="8"/>
  <c r="D45" i="8"/>
  <c r="B45" i="8"/>
  <c r="W44" i="8"/>
  <c r="Q44" i="8" s="1"/>
  <c r="R44" i="8" s="1"/>
  <c r="H44" i="8"/>
  <c r="G44" i="8"/>
  <c r="F44" i="8"/>
  <c r="D44" i="8"/>
  <c r="B44" i="8"/>
  <c r="W43" i="8"/>
  <c r="G43" i="8"/>
  <c r="F43" i="8"/>
  <c r="D43" i="8"/>
  <c r="B43" i="8"/>
  <c r="G42" i="8"/>
  <c r="F42" i="8"/>
  <c r="D42" i="8"/>
  <c r="B42" i="8"/>
  <c r="S41" i="8"/>
  <c r="Q41" i="8"/>
  <c r="O41" i="8"/>
  <c r="H41" i="8"/>
  <c r="G41" i="8"/>
  <c r="F41" i="8"/>
  <c r="D41" i="8"/>
  <c r="B41" i="8"/>
  <c r="Q40" i="8"/>
  <c r="R40" i="8" s="1"/>
  <c r="O40" i="8"/>
  <c r="H40" i="8"/>
  <c r="G40" i="8"/>
  <c r="F40" i="8"/>
  <c r="D40" i="8"/>
  <c r="B40" i="8"/>
  <c r="Q39" i="8"/>
  <c r="R39" i="8" s="1"/>
  <c r="O39" i="8"/>
  <c r="H39" i="8"/>
  <c r="G39" i="8"/>
  <c r="F39" i="8"/>
  <c r="D39" i="8"/>
  <c r="B39" i="8"/>
  <c r="W38" i="8"/>
  <c r="Q38" i="8"/>
  <c r="R38" i="8" s="1"/>
  <c r="O38" i="8"/>
  <c r="H38" i="8"/>
  <c r="G38" i="8"/>
  <c r="F38" i="8"/>
  <c r="D38" i="8"/>
  <c r="B38" i="8"/>
  <c r="W37" i="8"/>
  <c r="Q37" i="8"/>
  <c r="R37" i="8" s="1"/>
  <c r="O37" i="8"/>
  <c r="I37" i="8"/>
  <c r="H37" i="8"/>
  <c r="G37" i="8"/>
  <c r="F37" i="8"/>
  <c r="D37" i="8"/>
  <c r="B37" i="8"/>
  <c r="W36" i="8"/>
  <c r="Q36" i="8"/>
  <c r="R36" i="8" s="1"/>
  <c r="O36" i="8"/>
  <c r="H36" i="8"/>
  <c r="G36" i="8"/>
  <c r="F36" i="8"/>
  <c r="D36" i="8"/>
  <c r="B36" i="8"/>
  <c r="W35" i="8"/>
  <c r="Q35" i="8"/>
  <c r="R35" i="8" s="1"/>
  <c r="O35" i="8"/>
  <c r="H35" i="8"/>
  <c r="G35" i="8"/>
  <c r="F35" i="8"/>
  <c r="D35" i="8"/>
  <c r="B35" i="8"/>
  <c r="A26" i="7"/>
  <c r="A24" i="7"/>
  <c r="A23" i="7"/>
  <c r="A22" i="7"/>
  <c r="A21" i="7"/>
  <c r="A20" i="7"/>
  <c r="A17" i="7"/>
  <c r="A16" i="7"/>
  <c r="A15" i="7"/>
  <c r="A14" i="7"/>
  <c r="A13" i="7"/>
  <c r="A12" i="7"/>
  <c r="A9" i="7"/>
  <c r="A8" i="7"/>
  <c r="A7" i="7"/>
  <c r="A6" i="7"/>
  <c r="A5" i="7"/>
  <c r="P27" i="5"/>
  <c r="P26" i="5"/>
  <c r="Z24" i="5" s="1"/>
  <c r="Q20" i="5"/>
  <c r="A20" i="5" s="1"/>
  <c r="O20" i="5"/>
  <c r="H20" i="5"/>
  <c r="H56" i="8" s="1"/>
  <c r="A19" i="5"/>
  <c r="W18" i="5"/>
  <c r="W19" i="5" s="1"/>
  <c r="W20" i="5" s="1"/>
  <c r="W21" i="5" s="1"/>
  <c r="Q18" i="5"/>
  <c r="O18" i="5"/>
  <c r="L18" i="5"/>
  <c r="I20" i="8" s="1"/>
  <c r="H18" i="5"/>
  <c r="H20" i="8" s="1"/>
  <c r="A18" i="5"/>
  <c r="W15" i="5"/>
  <c r="X15" i="5" s="1"/>
  <c r="Q15" i="5"/>
  <c r="A15" i="5" s="1"/>
  <c r="O15" i="5"/>
  <c r="L15" i="5"/>
  <c r="N36" i="9" s="1"/>
  <c r="W14" i="5"/>
  <c r="X14" i="5" s="1"/>
  <c r="Q14" i="5"/>
  <c r="A14" i="5" s="1"/>
  <c r="O14" i="5"/>
  <c r="L14" i="5"/>
  <c r="I57" i="8" s="1"/>
  <c r="W13" i="5"/>
  <c r="X13" i="5" s="1"/>
  <c r="A13" i="5"/>
  <c r="Q12" i="5"/>
  <c r="A12" i="5" s="1"/>
  <c r="O12" i="5"/>
  <c r="N12" i="5"/>
  <c r="H12" i="5"/>
  <c r="H55" i="8" s="1"/>
  <c r="Q10" i="5"/>
  <c r="A10" i="5" s="1"/>
  <c r="O10" i="5"/>
  <c r="L10" i="5"/>
  <c r="Q9" i="5"/>
  <c r="A9" i="5" s="1"/>
  <c r="O9" i="5"/>
  <c r="L9" i="5"/>
  <c r="Q8" i="5"/>
  <c r="A8" i="5" s="1"/>
  <c r="O8" i="5"/>
  <c r="L8" i="5"/>
  <c r="Q7" i="5"/>
  <c r="O7" i="5"/>
  <c r="L7" i="5"/>
  <c r="A7" i="5"/>
  <c r="W6" i="5"/>
  <c r="Q6" i="5"/>
  <c r="A6" i="5" s="1"/>
  <c r="Q5" i="5"/>
  <c r="A5" i="5" s="1"/>
  <c r="L5" i="5"/>
  <c r="Q4" i="5"/>
  <c r="A4" i="5" s="1"/>
  <c r="L4" i="5"/>
  <c r="E6" i="4"/>
  <c r="E5" i="4"/>
  <c r="E4" i="4"/>
  <c r="AC15" i="9" l="1"/>
  <c r="P7" i="9"/>
  <c r="D8" i="9"/>
  <c r="O7" i="9"/>
  <c r="P8" i="9"/>
  <c r="N41" i="9"/>
  <c r="O41" i="9" s="1"/>
  <c r="N18" i="9"/>
  <c r="O18" i="9" s="1"/>
  <c r="O15" i="9"/>
  <c r="AE7" i="9"/>
  <c r="AE8" i="9"/>
  <c r="AC7" i="9"/>
  <c r="R7" i="9"/>
  <c r="AC8" i="9"/>
  <c r="R8" i="9"/>
  <c r="Q7" i="9"/>
  <c r="Q8" i="9"/>
  <c r="D15" i="9"/>
  <c r="P15" i="9"/>
  <c r="Q15" i="9"/>
  <c r="R15" i="9"/>
  <c r="D18" i="9"/>
  <c r="Q18" i="9"/>
  <c r="U18" i="9" s="1"/>
  <c r="P18" i="9"/>
  <c r="D5" i="9"/>
  <c r="D6" i="9"/>
  <c r="X12" i="8"/>
  <c r="AC17" i="9" s="1"/>
  <c r="X105" i="8"/>
  <c r="R16" i="9"/>
  <c r="N43" i="9"/>
  <c r="O43" i="9" s="1"/>
  <c r="I6" i="8"/>
  <c r="H15" i="8"/>
  <c r="X18" i="5"/>
  <c r="X19" i="5" s="1"/>
  <c r="X20" i="5" s="1"/>
  <c r="X21" i="5" s="1"/>
  <c r="I27" i="8"/>
  <c r="M4" i="9"/>
  <c r="H33" i="8"/>
  <c r="N13" i="9"/>
  <c r="O13" i="9" s="1"/>
  <c r="X16" i="5"/>
  <c r="D17" i="9"/>
  <c r="I9" i="8"/>
  <c r="I17" i="8"/>
  <c r="N14" i="9"/>
  <c r="O14" i="9" s="1"/>
  <c r="I33" i="8"/>
  <c r="N44" i="9"/>
  <c r="O44" i="9" s="1"/>
  <c r="M21" i="9"/>
  <c r="M24" i="9"/>
  <c r="N28" i="9"/>
  <c r="O28" i="9" s="1"/>
  <c r="N29" i="9"/>
  <c r="O29" i="9" s="1"/>
  <c r="I12" i="8"/>
  <c r="N5" i="9"/>
  <c r="O5" i="9" s="1"/>
  <c r="I26" i="8"/>
  <c r="I32" i="8"/>
  <c r="N35" i="9"/>
  <c r="O35" i="9" s="1"/>
  <c r="N22" i="9"/>
  <c r="O22" i="9" s="1"/>
  <c r="N23" i="9"/>
  <c r="O23" i="9" s="1"/>
  <c r="N24" i="9"/>
  <c r="O24" i="9" s="1"/>
  <c r="N25" i="9"/>
  <c r="O25" i="9" s="1"/>
  <c r="N26" i="9"/>
  <c r="O26" i="9" s="1"/>
  <c r="M32" i="9"/>
  <c r="I7" i="8"/>
  <c r="N6" i="9"/>
  <c r="O6" i="9" s="1"/>
  <c r="M9" i="9"/>
  <c r="M19" i="9"/>
  <c r="N16" i="9"/>
  <c r="O16" i="9" s="1"/>
  <c r="I23" i="8"/>
  <c r="H30" i="8"/>
  <c r="I31" i="8"/>
  <c r="I10" i="8"/>
  <c r="H14" i="8"/>
  <c r="I16" i="8"/>
  <c r="N9" i="9"/>
  <c r="O9" i="9" s="1"/>
  <c r="I22" i="8"/>
  <c r="H29" i="8"/>
  <c r="N38" i="9"/>
  <c r="O38" i="9" s="1"/>
  <c r="N10" i="9"/>
  <c r="O10" i="9" s="1"/>
  <c r="N17" i="9"/>
  <c r="O17" i="9" s="1"/>
  <c r="N39" i="9"/>
  <c r="O39" i="9" s="1"/>
  <c r="N11" i="9"/>
  <c r="O11" i="9" s="1"/>
  <c r="I28" i="8"/>
  <c r="I11" i="8"/>
  <c r="P13" i="9"/>
  <c r="AC4" i="9"/>
  <c r="R14" i="9"/>
  <c r="AE5" i="9"/>
  <c r="Q16" i="9"/>
  <c r="S16" i="9" s="1"/>
  <c r="R12" i="9"/>
  <c r="AE6" i="9"/>
  <c r="AC9" i="9"/>
  <c r="D16" i="9"/>
  <c r="P19" i="9"/>
  <c r="AC10" i="9"/>
  <c r="AC20" i="9"/>
  <c r="P11" i="9"/>
  <c r="P17" i="9"/>
  <c r="D12" i="9"/>
  <c r="Q17" i="9"/>
  <c r="U17" i="9" s="1"/>
  <c r="R17" i="9"/>
  <c r="D4" i="9"/>
  <c r="E4" i="9" s="1"/>
  <c r="P16" i="9"/>
  <c r="Q13" i="9"/>
  <c r="U13" i="9" s="1"/>
  <c r="D9" i="9"/>
  <c r="E9" i="9" s="1"/>
  <c r="Q19" i="9"/>
  <c r="U19" i="9" s="1"/>
  <c r="R19" i="9"/>
  <c r="D11" i="9"/>
  <c r="D10" i="9"/>
  <c r="AC14" i="9"/>
  <c r="Q11" i="9"/>
  <c r="U11" i="9" s="1"/>
  <c r="AE4" i="9"/>
  <c r="R11" i="9"/>
  <c r="R13" i="9"/>
  <c r="R9" i="9"/>
  <c r="P10" i="9"/>
  <c r="P5" i="9"/>
  <c r="Q10" i="9"/>
  <c r="AC11" i="9"/>
  <c r="R10" i="9"/>
  <c r="P12" i="9"/>
  <c r="P6" i="9"/>
  <c r="Q12" i="9"/>
  <c r="Q9" i="9"/>
  <c r="U9" i="9" s="1"/>
  <c r="AC12" i="9"/>
  <c r="AB20" i="9"/>
  <c r="P4" i="9"/>
  <c r="O12" i="9"/>
  <c r="P9" i="9"/>
  <c r="AC13" i="9"/>
  <c r="AC19" i="9"/>
  <c r="Q6" i="9"/>
  <c r="Q4" i="9"/>
  <c r="Q5" i="9"/>
  <c r="R6" i="9"/>
  <c r="AC6" i="9"/>
  <c r="R4" i="9"/>
  <c r="R5" i="9"/>
  <c r="AC5" i="9"/>
  <c r="D14" i="9"/>
  <c r="P14" i="9"/>
  <c r="D13" i="9"/>
  <c r="Q14" i="9"/>
  <c r="D19" i="9"/>
  <c r="X28" i="8"/>
  <c r="S75" i="9"/>
  <c r="X64" i="8"/>
  <c r="X63" i="8"/>
  <c r="X62" i="8"/>
  <c r="D32" i="9"/>
  <c r="E32" i="9" s="1"/>
  <c r="X65" i="8"/>
  <c r="D52" i="9"/>
  <c r="D67" i="9"/>
  <c r="E67" i="9" s="1"/>
  <c r="D65" i="9"/>
  <c r="D71" i="9"/>
  <c r="D64" i="9"/>
  <c r="D74" i="9"/>
  <c r="D25" i="9"/>
  <c r="E31" i="5"/>
  <c r="D47" i="9"/>
  <c r="E47" i="9" s="1"/>
  <c r="D27" i="9"/>
  <c r="D57" i="9"/>
  <c r="AB33" i="9"/>
  <c r="D51" i="9"/>
  <c r="D23" i="9"/>
  <c r="AC33" i="9"/>
  <c r="D28" i="9"/>
  <c r="D56" i="9"/>
  <c r="D79" i="9"/>
  <c r="E79" i="9" s="1"/>
  <c r="D81" i="9"/>
  <c r="E81" i="9" s="1"/>
  <c r="D77" i="9"/>
  <c r="E77" i="9" s="1"/>
  <c r="D43" i="9"/>
  <c r="D62" i="9"/>
  <c r="E62" i="9" s="1"/>
  <c r="D78" i="9"/>
  <c r="E78" i="9" s="1"/>
  <c r="D70" i="9"/>
  <c r="E70" i="9" s="1"/>
  <c r="D69" i="9"/>
  <c r="E69" i="9" s="1"/>
  <c r="D73" i="9"/>
  <c r="D66" i="9"/>
  <c r="D61" i="9"/>
  <c r="D60" i="9"/>
  <c r="E60" i="9" s="1"/>
  <c r="D58" i="9"/>
  <c r="D55" i="9"/>
  <c r="D54" i="9"/>
  <c r="D53" i="9"/>
  <c r="D50" i="9"/>
  <c r="E50" i="9" s="1"/>
  <c r="D49" i="9"/>
  <c r="D48" i="9"/>
  <c r="D83" i="9"/>
  <c r="E83" i="9" s="1"/>
  <c r="D37" i="9"/>
  <c r="E37" i="9" s="1"/>
  <c r="D45" i="9"/>
  <c r="E45" i="9" s="1"/>
  <c r="D75" i="9"/>
  <c r="D72" i="9"/>
  <c r="D63" i="9"/>
  <c r="O27" i="9"/>
  <c r="D38" i="9"/>
  <c r="D35" i="9"/>
  <c r="D34" i="9"/>
  <c r="E34" i="9" s="1"/>
  <c r="D82" i="9"/>
  <c r="E82" i="9" s="1"/>
  <c r="D44" i="9"/>
  <c r="D40" i="9"/>
  <c r="AC32" i="9"/>
  <c r="Q32" i="9"/>
  <c r="P32" i="9"/>
  <c r="R32" i="9"/>
  <c r="D31" i="9"/>
  <c r="AC31" i="9"/>
  <c r="D29" i="9"/>
  <c r="P29" i="9"/>
  <c r="R29" i="9"/>
  <c r="AC29" i="9"/>
  <c r="Q29" i="9"/>
  <c r="R28" i="9"/>
  <c r="Q28" i="9"/>
  <c r="AC28" i="9"/>
  <c r="P28" i="9"/>
  <c r="R27" i="9"/>
  <c r="P27" i="9"/>
  <c r="AC27" i="9"/>
  <c r="Q27" i="9"/>
  <c r="D26" i="9"/>
  <c r="Q26" i="9"/>
  <c r="R26" i="9"/>
  <c r="AC26" i="9"/>
  <c r="P26" i="9"/>
  <c r="R25" i="9"/>
  <c r="P25" i="9"/>
  <c r="AC25" i="9"/>
  <c r="Q25" i="9"/>
  <c r="D24" i="9"/>
  <c r="P24" i="9"/>
  <c r="Q24" i="9"/>
  <c r="AC24" i="9"/>
  <c r="R24" i="9"/>
  <c r="Q23" i="9"/>
  <c r="R23" i="9"/>
  <c r="AC23" i="9"/>
  <c r="AE23" i="9"/>
  <c r="P23" i="9"/>
  <c r="D22" i="9"/>
  <c r="AC22" i="9"/>
  <c r="R22" i="9"/>
  <c r="Q22" i="9"/>
  <c r="AE22" i="9"/>
  <c r="P22" i="9"/>
  <c r="D21" i="9"/>
  <c r="E21" i="9" s="1"/>
  <c r="Q21" i="9"/>
  <c r="P21" i="9"/>
  <c r="R21" i="9"/>
  <c r="AC21" i="9"/>
  <c r="AE21" i="9"/>
  <c r="Z75" i="9"/>
  <c r="Z70" i="9"/>
  <c r="Z69" i="9"/>
  <c r="AC59" i="9"/>
  <c r="P52" i="9"/>
  <c r="AC46" i="9"/>
  <c r="R41" i="8"/>
  <c r="X41" i="8"/>
  <c r="AC44" i="9" s="1"/>
  <c r="O36" i="9"/>
  <c r="O83" i="9"/>
  <c r="X83" i="9" s="1"/>
  <c r="Y83" i="9" s="1"/>
  <c r="O53" i="9"/>
  <c r="O79" i="9"/>
  <c r="X79" i="9" s="1"/>
  <c r="O73" i="9"/>
  <c r="O65" i="9"/>
  <c r="O40" i="9"/>
  <c r="AJ33" i="10"/>
  <c r="AR30" i="10"/>
  <c r="I46" i="8"/>
  <c r="N37" i="9"/>
  <c r="O37" i="9" s="1"/>
  <c r="H46" i="8"/>
  <c r="M37" i="9"/>
  <c r="N49" i="9"/>
  <c r="O49" i="9" s="1"/>
  <c r="I58" i="8"/>
  <c r="I45" i="8"/>
  <c r="I54" i="8"/>
  <c r="I53" i="8"/>
  <c r="I52" i="8"/>
  <c r="I51" i="8"/>
  <c r="I49" i="8"/>
  <c r="I48" i="8"/>
  <c r="U75" i="9"/>
  <c r="D41" i="9"/>
  <c r="D39" i="9"/>
  <c r="D42" i="9"/>
  <c r="B8" i="15"/>
  <c r="B7" i="15"/>
  <c r="B6" i="15"/>
  <c r="B5" i="15"/>
  <c r="AB75" i="9"/>
  <c r="Z74" i="9"/>
  <c r="P74" i="9"/>
  <c r="R74" i="9"/>
  <c r="Q74" i="9"/>
  <c r="AB74" i="9" s="1"/>
  <c r="Z73" i="9"/>
  <c r="R73" i="9"/>
  <c r="Q73" i="9"/>
  <c r="AB73" i="9" s="1"/>
  <c r="P73" i="9"/>
  <c r="P72" i="9"/>
  <c r="Q72" i="9"/>
  <c r="AB72" i="9" s="1"/>
  <c r="Z72" i="9"/>
  <c r="R72" i="9"/>
  <c r="Q71" i="9"/>
  <c r="AB71" i="9" s="1"/>
  <c r="P71" i="9"/>
  <c r="Z71" i="9"/>
  <c r="R71" i="9"/>
  <c r="V70" i="9"/>
  <c r="W70" i="9" s="1"/>
  <c r="AB59" i="9"/>
  <c r="AB68" i="9"/>
  <c r="AB70" i="9"/>
  <c r="V69" i="9"/>
  <c r="W69" i="9" s="1"/>
  <c r="AB69" i="9"/>
  <c r="Q67" i="9"/>
  <c r="AB67" i="9" s="1"/>
  <c r="R67" i="9"/>
  <c r="P67" i="9"/>
  <c r="Q66" i="9"/>
  <c r="R66" i="9"/>
  <c r="P66" i="9"/>
  <c r="Q65" i="9"/>
  <c r="P65" i="9"/>
  <c r="R65" i="9"/>
  <c r="R64" i="9"/>
  <c r="Q64" i="9"/>
  <c r="P64" i="9"/>
  <c r="R63" i="9"/>
  <c r="Q63" i="9"/>
  <c r="P63" i="9"/>
  <c r="R62" i="9"/>
  <c r="P62" i="9"/>
  <c r="Q62" i="9"/>
  <c r="AB62" i="9" s="1"/>
  <c r="R61" i="9"/>
  <c r="Q61" i="9"/>
  <c r="P61" i="9"/>
  <c r="P60" i="9"/>
  <c r="Q60" i="9"/>
  <c r="AB60" i="9" s="1"/>
  <c r="R60" i="9"/>
  <c r="Q58" i="9"/>
  <c r="P58" i="9"/>
  <c r="R58" i="9"/>
  <c r="AC58" i="9"/>
  <c r="AC57" i="9"/>
  <c r="R57" i="9"/>
  <c r="Q57" i="9"/>
  <c r="AB57" i="9" s="1"/>
  <c r="P57" i="9"/>
  <c r="AC56" i="9"/>
  <c r="R56" i="9"/>
  <c r="P56" i="9"/>
  <c r="AC55" i="9"/>
  <c r="R55" i="9"/>
  <c r="Q55" i="9"/>
  <c r="AB55" i="9" s="1"/>
  <c r="P55" i="9"/>
  <c r="Q54" i="9"/>
  <c r="P54" i="9"/>
  <c r="AC54" i="9"/>
  <c r="R54" i="9"/>
  <c r="AB46" i="9"/>
  <c r="AC53" i="9"/>
  <c r="R53" i="9"/>
  <c r="Q53" i="9"/>
  <c r="P53" i="9"/>
  <c r="P51" i="9"/>
  <c r="Q51" i="9"/>
  <c r="R51" i="9"/>
  <c r="AC51" i="9"/>
  <c r="P50" i="9"/>
  <c r="AC50" i="9"/>
  <c r="R50" i="9"/>
  <c r="Q50" i="9"/>
  <c r="R49" i="9"/>
  <c r="AE49" i="9"/>
  <c r="Q49" i="9"/>
  <c r="P49" i="9"/>
  <c r="AC49" i="9"/>
  <c r="P48" i="9"/>
  <c r="Q48" i="9"/>
  <c r="R48" i="9"/>
  <c r="AC48" i="9"/>
  <c r="AE48" i="9"/>
  <c r="R47" i="9"/>
  <c r="P47" i="9"/>
  <c r="Q47" i="9"/>
  <c r="AC47" i="9"/>
  <c r="AE47" i="9"/>
  <c r="R45" i="9"/>
  <c r="Q45" i="9"/>
  <c r="P45" i="9"/>
  <c r="AC45" i="9"/>
  <c r="Q44" i="9"/>
  <c r="P44" i="9"/>
  <c r="R44" i="9"/>
  <c r="P43" i="9"/>
  <c r="Q43" i="9"/>
  <c r="AC43" i="9"/>
  <c r="R43" i="9"/>
  <c r="AC42" i="9"/>
  <c r="AC41" i="9"/>
  <c r="R41" i="9"/>
  <c r="Q41" i="9"/>
  <c r="P41" i="9"/>
  <c r="P40" i="9"/>
  <c r="AC40" i="9"/>
  <c r="R40" i="9"/>
  <c r="Q40" i="9"/>
  <c r="R39" i="9"/>
  <c r="AC39" i="9"/>
  <c r="Q39" i="9"/>
  <c r="P39" i="9"/>
  <c r="AC38" i="9"/>
  <c r="Q38" i="9"/>
  <c r="R38" i="9"/>
  <c r="P38" i="9"/>
  <c r="R37" i="9"/>
  <c r="P37" i="9"/>
  <c r="AC37" i="9"/>
  <c r="Q37" i="9"/>
  <c r="D36" i="9"/>
  <c r="P35" i="9"/>
  <c r="Q35" i="9"/>
  <c r="AE35" i="9"/>
  <c r="AC35" i="9"/>
  <c r="R35" i="9"/>
  <c r="AC34" i="9"/>
  <c r="AE34" i="9"/>
  <c r="R34" i="9"/>
  <c r="Q34" i="9"/>
  <c r="P34" i="9"/>
  <c r="W74" i="8"/>
  <c r="X74" i="8" s="1"/>
  <c r="R74" i="8"/>
  <c r="W73" i="8"/>
  <c r="X73" i="8" s="1"/>
  <c r="R73" i="8"/>
  <c r="R72" i="8"/>
  <c r="W72" i="8"/>
  <c r="X72" i="8" s="1"/>
  <c r="R71" i="8"/>
  <c r="W71" i="8"/>
  <c r="X71" i="8" s="1"/>
  <c r="R36" i="9"/>
  <c r="AE36" i="9"/>
  <c r="P36" i="9"/>
  <c r="Q52" i="9"/>
  <c r="R52" i="9"/>
  <c r="AC36" i="9"/>
  <c r="Q36" i="9"/>
  <c r="AC52" i="9"/>
  <c r="H81" i="8"/>
  <c r="M34" i="9"/>
  <c r="H43" i="8"/>
  <c r="M60" i="9"/>
  <c r="H82" i="8"/>
  <c r="H83" i="8"/>
  <c r="M69" i="9"/>
  <c r="H67" i="8"/>
  <c r="M77" i="9"/>
  <c r="M81" i="9"/>
  <c r="M47" i="9"/>
  <c r="I86" i="8"/>
  <c r="I69" i="8"/>
  <c r="N62" i="9"/>
  <c r="O62" i="9" s="1"/>
  <c r="N50" i="9"/>
  <c r="O50" i="9" s="1"/>
  <c r="I85" i="8"/>
  <c r="I59" i="8"/>
  <c r="I87" i="8"/>
  <c r="N70" i="9"/>
  <c r="O70" i="9" s="1"/>
  <c r="X70" i="9" s="1"/>
  <c r="N78" i="9"/>
  <c r="O78" i="9" s="1"/>
  <c r="X78" i="9" s="1"/>
  <c r="N82" i="9"/>
  <c r="O82" i="9" s="1"/>
  <c r="X82" i="9" s="1"/>
  <c r="Y82" i="9" s="1"/>
  <c r="M82" i="9"/>
  <c r="M78" i="9"/>
  <c r="H69" i="8"/>
  <c r="H59" i="8"/>
  <c r="M62" i="9"/>
  <c r="M50" i="9"/>
  <c r="M70" i="9"/>
  <c r="H87" i="8"/>
  <c r="H86" i="8"/>
  <c r="H85" i="8"/>
  <c r="I44" i="8"/>
  <c r="N48" i="9"/>
  <c r="O48" i="9" s="1"/>
  <c r="I68" i="8"/>
  <c r="N61" i="9"/>
  <c r="O61" i="9" s="1"/>
  <c r="H77" i="8"/>
  <c r="M45" i="9"/>
  <c r="M67" i="9"/>
  <c r="H78" i="8"/>
  <c r="M58" i="9"/>
  <c r="M75" i="9"/>
  <c r="H79" i="8"/>
  <c r="H42" i="8"/>
  <c r="M83" i="9"/>
  <c r="H66" i="8"/>
  <c r="M79" i="9"/>
  <c r="N57" i="9"/>
  <c r="O57" i="9" s="1"/>
  <c r="I41" i="8"/>
  <c r="I76" i="8"/>
  <c r="N56" i="9"/>
  <c r="O56" i="9" s="1"/>
  <c r="Q56" i="9" s="1"/>
  <c r="AB56" i="9" s="1"/>
  <c r="I40" i="8"/>
  <c r="I75" i="8"/>
  <c r="N55" i="9"/>
  <c r="O55" i="9" s="1"/>
  <c r="I39" i="8"/>
  <c r="N66" i="9"/>
  <c r="O66" i="9" s="1"/>
  <c r="I74" i="8"/>
  <c r="I65" i="8"/>
  <c r="N54" i="9"/>
  <c r="O54" i="9" s="1"/>
  <c r="N74" i="9"/>
  <c r="O74" i="9" s="1"/>
  <c r="I38" i="8"/>
  <c r="N64" i="9"/>
  <c r="O64" i="9" s="1"/>
  <c r="N52" i="9"/>
  <c r="O52" i="9" s="1"/>
  <c r="I72" i="8"/>
  <c r="I63" i="8"/>
  <c r="N72" i="9"/>
  <c r="O72" i="9" s="1"/>
  <c r="I36" i="8"/>
  <c r="N63" i="9"/>
  <c r="O63" i="9" s="1"/>
  <c r="N51" i="9"/>
  <c r="O51" i="9" s="1"/>
  <c r="I71" i="8"/>
  <c r="I35" i="8"/>
  <c r="L12" i="5"/>
  <c r="N71" i="9"/>
  <c r="I62" i="8"/>
  <c r="AB15" i="9" l="1"/>
  <c r="E6" i="9"/>
  <c r="E7" i="9"/>
  <c r="E8" i="9"/>
  <c r="E5" i="9"/>
  <c r="E10" i="9"/>
  <c r="S8" i="9"/>
  <c r="U8" i="9"/>
  <c r="U7" i="9"/>
  <c r="S7" i="9"/>
  <c r="X8" i="9"/>
  <c r="Y8" i="9" s="1"/>
  <c r="X7" i="9"/>
  <c r="Y7" i="9" s="1"/>
  <c r="S15" i="9"/>
  <c r="E15" i="9"/>
  <c r="U15" i="9"/>
  <c r="X15" i="9"/>
  <c r="S18" i="9"/>
  <c r="V18" i="9" s="1"/>
  <c r="W18" i="9" s="1"/>
  <c r="X18" i="9"/>
  <c r="E19" i="9"/>
  <c r="E18" i="9"/>
  <c r="S17" i="9"/>
  <c r="V17" i="9" s="1"/>
  <c r="W17" i="9" s="1"/>
  <c r="X6" i="9"/>
  <c r="I29" i="8"/>
  <c r="I14" i="8"/>
  <c r="N19" i="9"/>
  <c r="O19" i="9" s="1"/>
  <c r="X19" i="9" s="1"/>
  <c r="N32" i="9"/>
  <c r="O32" i="9" s="1"/>
  <c r="X32" i="9" s="1"/>
  <c r="N45" i="9"/>
  <c r="O45" i="9" s="1"/>
  <c r="X45" i="9" s="1"/>
  <c r="AB17" i="9"/>
  <c r="X17" i="9"/>
  <c r="S12" i="9"/>
  <c r="S13" i="9"/>
  <c r="V13" i="9" s="1"/>
  <c r="W13" i="9" s="1"/>
  <c r="S19" i="9"/>
  <c r="V19" i="9" s="1"/>
  <c r="W19" i="9" s="1"/>
  <c r="X13" i="9"/>
  <c r="U16" i="9"/>
  <c r="V16" i="9" s="1"/>
  <c r="W16" i="9" s="1"/>
  <c r="X16" i="9"/>
  <c r="S11" i="9"/>
  <c r="V11" i="9" s="1"/>
  <c r="W11" i="9" s="1"/>
  <c r="X10" i="9"/>
  <c r="X12" i="9"/>
  <c r="S10" i="9"/>
  <c r="U10" i="9"/>
  <c r="S9" i="9"/>
  <c r="V9" i="9" s="1"/>
  <c r="AB9" i="9"/>
  <c r="X11" i="9"/>
  <c r="X9" i="9"/>
  <c r="U12" i="9"/>
  <c r="X5" i="9"/>
  <c r="AB13" i="9"/>
  <c r="AB11" i="9"/>
  <c r="AB12" i="9"/>
  <c r="AB10" i="9"/>
  <c r="AB19" i="9"/>
  <c r="AB4" i="9"/>
  <c r="E13" i="9"/>
  <c r="E11" i="9"/>
  <c r="U14" i="9"/>
  <c r="S14" i="9"/>
  <c r="E12" i="9"/>
  <c r="S5" i="9"/>
  <c r="U5" i="9"/>
  <c r="AB14" i="9"/>
  <c r="E14" i="9"/>
  <c r="E17" i="9"/>
  <c r="S4" i="9"/>
  <c r="U4" i="9"/>
  <c r="X14" i="9"/>
  <c r="U6" i="9"/>
  <c r="S6" i="9"/>
  <c r="E16" i="9"/>
  <c r="E44" i="9"/>
  <c r="E73" i="9"/>
  <c r="E55" i="9"/>
  <c r="E49" i="9"/>
  <c r="E63" i="9"/>
  <c r="E43" i="9"/>
  <c r="E61" i="9"/>
  <c r="E54" i="9"/>
  <c r="E48" i="9"/>
  <c r="E42" i="9"/>
  <c r="AB58" i="9"/>
  <c r="E64" i="9"/>
  <c r="E65" i="9"/>
  <c r="E66" i="9"/>
  <c r="E58" i="9"/>
  <c r="E56" i="9"/>
  <c r="E57" i="9"/>
  <c r="E51" i="9"/>
  <c r="E52" i="9"/>
  <c r="E53" i="9"/>
  <c r="E75" i="9"/>
  <c r="E74" i="9"/>
  <c r="E71" i="9"/>
  <c r="E72" i="9"/>
  <c r="AB31" i="9"/>
  <c r="AB29" i="9"/>
  <c r="AB27" i="9"/>
  <c r="AB24" i="9"/>
  <c r="AB21" i="9"/>
  <c r="AB26" i="9"/>
  <c r="AB32" i="9"/>
  <c r="AB25" i="9"/>
  <c r="AB28" i="9"/>
  <c r="U32" i="9"/>
  <c r="S32" i="9"/>
  <c r="E30" i="9"/>
  <c r="E31" i="9"/>
  <c r="E27" i="9"/>
  <c r="E28" i="9"/>
  <c r="E29" i="9"/>
  <c r="U29" i="9"/>
  <c r="X29" i="9"/>
  <c r="S29" i="9"/>
  <c r="X28" i="9"/>
  <c r="U28" i="9"/>
  <c r="S28" i="9"/>
  <c r="U27" i="9"/>
  <c r="X27" i="9"/>
  <c r="S27" i="9"/>
  <c r="E25" i="9"/>
  <c r="E26" i="9"/>
  <c r="U26" i="9"/>
  <c r="X26" i="9"/>
  <c r="S26" i="9"/>
  <c r="X25" i="9"/>
  <c r="U25" i="9"/>
  <c r="S25" i="9"/>
  <c r="E23" i="9"/>
  <c r="E24" i="9"/>
  <c r="X24" i="9"/>
  <c r="U24" i="9"/>
  <c r="S24" i="9"/>
  <c r="X23" i="9"/>
  <c r="U23" i="9"/>
  <c r="S23" i="9"/>
  <c r="U22" i="9"/>
  <c r="X22" i="9"/>
  <c r="S22" i="9"/>
  <c r="U21" i="9"/>
  <c r="S21" i="9"/>
  <c r="E22" i="9"/>
  <c r="AB44" i="9"/>
  <c r="Y79" i="9"/>
  <c r="X50" i="9"/>
  <c r="AB64" i="9"/>
  <c r="AB63" i="9"/>
  <c r="AB34" i="9"/>
  <c r="AB54" i="9"/>
  <c r="AB53" i="9"/>
  <c r="AB51" i="9"/>
  <c r="AB47" i="9"/>
  <c r="AB43" i="9"/>
  <c r="AB42" i="9"/>
  <c r="AB41" i="9"/>
  <c r="AB37" i="9"/>
  <c r="V75" i="9"/>
  <c r="W75" i="9" s="1"/>
  <c r="E40" i="9"/>
  <c r="E41" i="9"/>
  <c r="E38" i="9"/>
  <c r="E39" i="9"/>
  <c r="AB66" i="9"/>
  <c r="AB65" i="9"/>
  <c r="AB50" i="9"/>
  <c r="AB45" i="9"/>
  <c r="AB40" i="9"/>
  <c r="AB39" i="9"/>
  <c r="AB38" i="9"/>
  <c r="X62" i="9"/>
  <c r="Y70" i="9"/>
  <c r="Y78" i="9"/>
  <c r="X55" i="9"/>
  <c r="Y55" i="9" s="1"/>
  <c r="AD55" i="9" s="1"/>
  <c r="X54" i="9"/>
  <c r="X74" i="9"/>
  <c r="Y74" i="9" s="1"/>
  <c r="AF74" i="9" s="1"/>
  <c r="X72" i="9"/>
  <c r="Y72" i="9" s="1"/>
  <c r="AF72" i="9" s="1"/>
  <c r="X51" i="9"/>
  <c r="U74" i="9"/>
  <c r="S74" i="9"/>
  <c r="X73" i="9"/>
  <c r="U73" i="9"/>
  <c r="S73" i="9"/>
  <c r="U72" i="9"/>
  <c r="S72" i="9"/>
  <c r="U71" i="9"/>
  <c r="S71" i="9"/>
  <c r="U67" i="9"/>
  <c r="S67" i="9"/>
  <c r="U66" i="9"/>
  <c r="S66" i="9"/>
  <c r="X65" i="9"/>
  <c r="U65" i="9"/>
  <c r="S65" i="9"/>
  <c r="U64" i="9"/>
  <c r="S64" i="9"/>
  <c r="U63" i="9"/>
  <c r="S63" i="9"/>
  <c r="U62" i="9"/>
  <c r="S62" i="9"/>
  <c r="U61" i="9"/>
  <c r="S61" i="9"/>
  <c r="U60" i="9"/>
  <c r="S60" i="9"/>
  <c r="U58" i="9"/>
  <c r="S58" i="9"/>
  <c r="U57" i="9"/>
  <c r="S57" i="9"/>
  <c r="U56" i="9"/>
  <c r="S56" i="9"/>
  <c r="U55" i="9"/>
  <c r="S55" i="9"/>
  <c r="U54" i="9"/>
  <c r="S54" i="9"/>
  <c r="X53" i="9"/>
  <c r="U53" i="9"/>
  <c r="S53" i="9"/>
  <c r="U51" i="9"/>
  <c r="S51" i="9"/>
  <c r="U50" i="9"/>
  <c r="S50" i="9"/>
  <c r="X49" i="9"/>
  <c r="Y49" i="9" s="1"/>
  <c r="U49" i="9"/>
  <c r="S49" i="9"/>
  <c r="U48" i="9"/>
  <c r="S48" i="9"/>
  <c r="U47" i="9"/>
  <c r="S47" i="9"/>
  <c r="U45" i="9"/>
  <c r="S45" i="9"/>
  <c r="U44" i="9"/>
  <c r="S44" i="9"/>
  <c r="U43" i="9"/>
  <c r="S43" i="9"/>
  <c r="U41" i="9"/>
  <c r="S41" i="9"/>
  <c r="X40" i="9"/>
  <c r="U40" i="9"/>
  <c r="S40" i="9"/>
  <c r="X39" i="9"/>
  <c r="U39" i="9"/>
  <c r="S39" i="9"/>
  <c r="X38" i="9"/>
  <c r="U38" i="9"/>
  <c r="S38" i="9"/>
  <c r="X37" i="9"/>
  <c r="U37" i="9"/>
  <c r="S37" i="9"/>
  <c r="E35" i="9"/>
  <c r="E36" i="9"/>
  <c r="U35" i="9"/>
  <c r="S35" i="9"/>
  <c r="U34" i="9"/>
  <c r="S34" i="9"/>
  <c r="U52" i="9"/>
  <c r="S52" i="9"/>
  <c r="AB52" i="9"/>
  <c r="X36" i="9"/>
  <c r="U36" i="9"/>
  <c r="S36" i="9"/>
  <c r="L20" i="5"/>
  <c r="I42" i="8"/>
  <c r="I55" i="8"/>
  <c r="I66" i="8"/>
  <c r="I77" i="8"/>
  <c r="I78" i="8"/>
  <c r="I79" i="8"/>
  <c r="N58" i="9"/>
  <c r="O58" i="9" s="1"/>
  <c r="X58" i="9" s="1"/>
  <c r="N67" i="9"/>
  <c r="O67" i="9" s="1"/>
  <c r="X67" i="9" s="1"/>
  <c r="O71" i="9"/>
  <c r="N75" i="9"/>
  <c r="O75" i="9" s="1"/>
  <c r="X75" i="9" s="1"/>
  <c r="Y75" i="9" s="1"/>
  <c r="X35" i="9"/>
  <c r="X48" i="9"/>
  <c r="X61" i="9"/>
  <c r="Y61" i="9" s="1"/>
  <c r="X44" i="9"/>
  <c r="X57" i="9"/>
  <c r="Y57" i="9" s="1"/>
  <c r="AD57" i="9" s="1"/>
  <c r="X56" i="9"/>
  <c r="Y56" i="9" s="1"/>
  <c r="X43" i="9"/>
  <c r="X66" i="9"/>
  <c r="X41" i="9"/>
  <c r="X64" i="9"/>
  <c r="X52" i="9"/>
  <c r="X63" i="9"/>
  <c r="V7" i="9" l="1"/>
  <c r="W7" i="9" s="1"/>
  <c r="V8" i="9"/>
  <c r="W8" i="9" s="1"/>
  <c r="Y15" i="9"/>
  <c r="AD15" i="9" s="1"/>
  <c r="V15" i="9"/>
  <c r="W15" i="9" s="1"/>
  <c r="Y17" i="9"/>
  <c r="AD17" i="9" s="1"/>
  <c r="Y18" i="9"/>
  <c r="I30" i="8"/>
  <c r="N21" i="9"/>
  <c r="O21" i="9" s="1"/>
  <c r="X21" i="9" s="1"/>
  <c r="N34" i="9"/>
  <c r="O34" i="9" s="1"/>
  <c r="X34" i="9" s="1"/>
  <c r="N4" i="9"/>
  <c r="O4" i="9" s="1"/>
  <c r="X4" i="9" s="1"/>
  <c r="I15" i="8"/>
  <c r="V12" i="9"/>
  <c r="W12" i="9" s="1"/>
  <c r="Z36" i="10"/>
  <c r="Y16" i="9"/>
  <c r="W9" i="9"/>
  <c r="V10" i="9"/>
  <c r="W10" i="9" s="1"/>
  <c r="Y6" i="9"/>
  <c r="Y5" i="9"/>
  <c r="Y9" i="9"/>
  <c r="V4" i="9"/>
  <c r="W4" i="9" s="1"/>
  <c r="V14" i="9"/>
  <c r="W14" i="9" s="1"/>
  <c r="Y11" i="9"/>
  <c r="Y13" i="9"/>
  <c r="V6" i="9"/>
  <c r="W6" i="9" s="1"/>
  <c r="Y19" i="9"/>
  <c r="Y14" i="9"/>
  <c r="AD14" i="9" s="1"/>
  <c r="Y12" i="9"/>
  <c r="V5" i="9"/>
  <c r="I53" i="10" s="1"/>
  <c r="N34" i="10"/>
  <c r="N37" i="10"/>
  <c r="N38" i="10"/>
  <c r="N35" i="10"/>
  <c r="N32" i="10"/>
  <c r="N36" i="10"/>
  <c r="N33" i="10"/>
  <c r="AJ39" i="10"/>
  <c r="F3" i="16"/>
  <c r="D10" i="16" s="1"/>
  <c r="B31" i="10"/>
  <c r="L33" i="10"/>
  <c r="H38" i="10"/>
  <c r="K41" i="10"/>
  <c r="B45" i="10"/>
  <c r="L47" i="10"/>
  <c r="B51" i="10"/>
  <c r="H54" i="10"/>
  <c r="H33" i="10"/>
  <c r="K38" i="10"/>
  <c r="M41" i="10"/>
  <c r="H45" i="10"/>
  <c r="K48" i="10"/>
  <c r="H51" i="10"/>
  <c r="N54" i="10"/>
  <c r="M36" i="10"/>
  <c r="K45" i="10"/>
  <c r="M49" i="10"/>
  <c r="N30" i="10"/>
  <c r="L38" i="10"/>
  <c r="N42" i="10"/>
  <c r="K47" i="10"/>
  <c r="N51" i="10"/>
  <c r="B30" i="10"/>
  <c r="M32" i="10"/>
  <c r="H35" i="10"/>
  <c r="K37" i="10"/>
  <c r="M39" i="10"/>
  <c r="N40" i="10"/>
  <c r="H43" i="10"/>
  <c r="L45" i="10"/>
  <c r="B47" i="10"/>
  <c r="N49" i="10"/>
  <c r="H52" i="10"/>
  <c r="L53" i="10"/>
  <c r="M30" i="10"/>
  <c r="H32" i="10"/>
  <c r="L35" i="10"/>
  <c r="M37" i="10"/>
  <c r="M40" i="10"/>
  <c r="H42" i="10"/>
  <c r="B44" i="10"/>
  <c r="M45" i="10"/>
  <c r="B49" i="10"/>
  <c r="L50" i="10"/>
  <c r="M53" i="10"/>
  <c r="K30" i="10"/>
  <c r="L34" i="10"/>
  <c r="L39" i="10"/>
  <c r="K42" i="10"/>
  <c r="M44" i="10"/>
  <c r="M47" i="10"/>
  <c r="N50" i="10"/>
  <c r="L52" i="10"/>
  <c r="L31" i="10"/>
  <c r="H34" i="10"/>
  <c r="B38" i="10"/>
  <c r="H41" i="10"/>
  <c r="K43" i="10"/>
  <c r="L48" i="10"/>
  <c r="M50" i="10"/>
  <c r="B53" i="10"/>
  <c r="H39" i="10"/>
  <c r="M51" i="10"/>
  <c r="H31" i="10"/>
  <c r="K35" i="10"/>
  <c r="H40" i="10"/>
  <c r="H44" i="10"/>
  <c r="H47" i="10"/>
  <c r="K51" i="10"/>
  <c r="B54" i="10"/>
  <c r="L32" i="10"/>
  <c r="M35" i="10"/>
  <c r="N39" i="10"/>
  <c r="N46" i="10"/>
  <c r="L49" i="10"/>
  <c r="F4" i="16"/>
  <c r="E10" i="16" s="1"/>
  <c r="N31" i="10"/>
  <c r="K34" i="10"/>
  <c r="B39" i="10"/>
  <c r="B42" i="10"/>
  <c r="K44" i="10"/>
  <c r="H48" i="10"/>
  <c r="L51" i="10"/>
  <c r="L54" i="10"/>
  <c r="B34" i="10"/>
  <c r="H37" i="10"/>
  <c r="D3" i="16" s="1"/>
  <c r="I41" i="10"/>
  <c r="M46" i="10"/>
  <c r="K49" i="10"/>
  <c r="H53" i="10"/>
  <c r="B33" i="10"/>
  <c r="M38" i="10"/>
  <c r="L43" i="10"/>
  <c r="N48" i="10"/>
  <c r="M54" i="10"/>
  <c r="K36" i="10"/>
  <c r="N41" i="10"/>
  <c r="K32" i="10"/>
  <c r="M31" i="10"/>
  <c r="B36" i="10"/>
  <c r="B41" i="10"/>
  <c r="B43" i="10"/>
  <c r="L46" i="10"/>
  <c r="K53" i="10"/>
  <c r="B32" i="10"/>
  <c r="B35" i="10"/>
  <c r="K39" i="10"/>
  <c r="I42" i="10"/>
  <c r="N44" i="10"/>
  <c r="B48" i="10"/>
  <c r="H50" i="10"/>
  <c r="N53" i="10"/>
  <c r="F2" i="16"/>
  <c r="C10" i="16" s="1"/>
  <c r="L36" i="10"/>
  <c r="K40" i="10"/>
  <c r="L42" i="10"/>
  <c r="M43" i="10"/>
  <c r="K46" i="10"/>
  <c r="M48" i="10"/>
  <c r="K50" i="10"/>
  <c r="M52" i="10"/>
  <c r="L30" i="10"/>
  <c r="K31" i="10"/>
  <c r="M34" i="10"/>
  <c r="H36" i="10"/>
  <c r="D2" i="16" s="1"/>
  <c r="B40" i="10"/>
  <c r="M42" i="10"/>
  <c r="L44" i="10"/>
  <c r="H46" i="10"/>
  <c r="N47" i="10"/>
  <c r="B50" i="10"/>
  <c r="N52" i="10"/>
  <c r="I54" i="10"/>
  <c r="M33" i="10"/>
  <c r="L37" i="10"/>
  <c r="L41" i="10"/>
  <c r="B46" i="10"/>
  <c r="B52" i="10"/>
  <c r="H30" i="10"/>
  <c r="K33" i="10"/>
  <c r="B37" i="10"/>
  <c r="L40" i="10"/>
  <c r="N43" i="10"/>
  <c r="N45" i="10"/>
  <c r="H49" i="10"/>
  <c r="K52" i="10"/>
  <c r="K54" i="10"/>
  <c r="V32" i="9"/>
  <c r="W32" i="9" s="1"/>
  <c r="V29" i="9"/>
  <c r="V28" i="9"/>
  <c r="V27" i="9"/>
  <c r="V26" i="9"/>
  <c r="V25" i="9"/>
  <c r="V24" i="9"/>
  <c r="W24" i="9" s="1"/>
  <c r="V23" i="9"/>
  <c r="V22" i="9"/>
  <c r="V21" i="9"/>
  <c r="W21" i="9" s="1"/>
  <c r="Y24" i="9"/>
  <c r="AD31" i="9"/>
  <c r="Y28" i="9"/>
  <c r="Y27" i="9"/>
  <c r="Y26" i="9"/>
  <c r="Y29" i="9"/>
  <c r="AD29" i="9" s="1"/>
  <c r="Y23" i="9"/>
  <c r="Y32" i="9"/>
  <c r="Y22" i="9"/>
  <c r="Y43" i="9"/>
  <c r="V43" i="9"/>
  <c r="Y64" i="9"/>
  <c r="AD64" i="9" s="1"/>
  <c r="Y52" i="9"/>
  <c r="Y65" i="9"/>
  <c r="AD65" i="9" s="1"/>
  <c r="Y44" i="9"/>
  <c r="Y50" i="9"/>
  <c r="Y62" i="9"/>
  <c r="Y53" i="9"/>
  <c r="Y37" i="9"/>
  <c r="Y67" i="9"/>
  <c r="AD42" i="9"/>
  <c r="Y41" i="9"/>
  <c r="V74" i="9"/>
  <c r="W74" i="9" s="1"/>
  <c r="Y73" i="9"/>
  <c r="AF73" i="9"/>
  <c r="V73" i="9"/>
  <c r="V72" i="9"/>
  <c r="V71" i="9"/>
  <c r="V67" i="9"/>
  <c r="W67" i="9" s="1"/>
  <c r="V66" i="9"/>
  <c r="V65" i="9"/>
  <c r="V64" i="9"/>
  <c r="V63" i="9"/>
  <c r="V62" i="9"/>
  <c r="W62" i="9" s="1"/>
  <c r="V61" i="9"/>
  <c r="V60" i="9"/>
  <c r="V58" i="9"/>
  <c r="W58" i="9" s="1"/>
  <c r="V57" i="9"/>
  <c r="V56" i="9"/>
  <c r="V55" i="9"/>
  <c r="V54" i="9"/>
  <c r="V53" i="9"/>
  <c r="V51" i="9"/>
  <c r="V50" i="9"/>
  <c r="W50" i="9" s="1"/>
  <c r="V49" i="9"/>
  <c r="V48" i="9"/>
  <c r="V47" i="9"/>
  <c r="V45" i="9"/>
  <c r="W45" i="9" s="1"/>
  <c r="V44" i="9"/>
  <c r="V41" i="9"/>
  <c r="I26" i="10" s="1"/>
  <c r="V40" i="9"/>
  <c r="V39" i="9"/>
  <c r="V38" i="9"/>
  <c r="V37" i="9"/>
  <c r="W37" i="9" s="1"/>
  <c r="K14" i="10"/>
  <c r="AE13" i="10"/>
  <c r="AQ15" i="10" s="1"/>
  <c r="N13" i="10"/>
  <c r="M13" i="10"/>
  <c r="AA32" i="10"/>
  <c r="K29" i="10"/>
  <c r="N28" i="10"/>
  <c r="N27" i="10"/>
  <c r="K27" i="10"/>
  <c r="N26" i="10"/>
  <c r="K26" i="10"/>
  <c r="B26" i="10"/>
  <c r="L25" i="10"/>
  <c r="H25" i="10"/>
  <c r="M24" i="10"/>
  <c r="B24" i="10"/>
  <c r="L23" i="10"/>
  <c r="H23" i="10"/>
  <c r="M22" i="10"/>
  <c r="N21" i="10"/>
  <c r="K21" i="10"/>
  <c r="B21" i="10"/>
  <c r="B19" i="10"/>
  <c r="L18" i="10"/>
  <c r="N17" i="10"/>
  <c r="N16" i="10"/>
  <c r="K16" i="10"/>
  <c r="H16" i="10"/>
  <c r="M15" i="10"/>
  <c r="L13" i="10"/>
  <c r="H13" i="10"/>
  <c r="M12" i="10"/>
  <c r="N11" i="10"/>
  <c r="K11" i="10"/>
  <c r="B11" i="10"/>
  <c r="L10" i="10"/>
  <c r="H10" i="10"/>
  <c r="M9" i="10"/>
  <c r="B9" i="10"/>
  <c r="L8" i="10"/>
  <c r="H8" i="10"/>
  <c r="M7" i="10"/>
  <c r="B7" i="10"/>
  <c r="L6" i="10"/>
  <c r="H6" i="10"/>
  <c r="M5" i="10"/>
  <c r="K5" i="10"/>
  <c r="H5" i="10"/>
  <c r="B5" i="10"/>
  <c r="M14" i="10"/>
  <c r="H14" i="10"/>
  <c r="AA13" i="10"/>
  <c r="AQ14" i="10" s="1"/>
  <c r="AR14" i="10" s="1"/>
  <c r="M29" i="10"/>
  <c r="B29" i="10"/>
  <c r="M20" i="10"/>
  <c r="L20" i="10"/>
  <c r="K20" i="10"/>
  <c r="H20" i="10"/>
  <c r="B20" i="10"/>
  <c r="Z19" i="10"/>
  <c r="N19" i="10"/>
  <c r="M19" i="10"/>
  <c r="L19" i="10"/>
  <c r="L14" i="10"/>
  <c r="B14" i="10"/>
  <c r="AD13" i="10"/>
  <c r="N29" i="10"/>
  <c r="M28" i="10"/>
  <c r="K28" i="10"/>
  <c r="B28" i="10"/>
  <c r="L27" i="10"/>
  <c r="H27" i="10"/>
  <c r="M26" i="10"/>
  <c r="N25" i="10"/>
  <c r="K25" i="10"/>
  <c r="B25" i="10"/>
  <c r="L24" i="10"/>
  <c r="H24" i="10"/>
  <c r="M23" i="10"/>
  <c r="N22" i="10"/>
  <c r="K22" i="10"/>
  <c r="H22" i="10"/>
  <c r="M21" i="10"/>
  <c r="N20" i="10"/>
  <c r="H19" i="10"/>
  <c r="M18" i="10"/>
  <c r="H18" i="10"/>
  <c r="M17" i="10"/>
  <c r="K17" i="10"/>
  <c r="B17" i="10"/>
  <c r="L16" i="10"/>
  <c r="N15" i="10"/>
  <c r="K15" i="10"/>
  <c r="B15" i="10"/>
  <c r="N12" i="10"/>
  <c r="K12" i="10"/>
  <c r="B12" i="10"/>
  <c r="L11" i="10"/>
  <c r="H11" i="10"/>
  <c r="M10" i="10"/>
  <c r="N9" i="10"/>
  <c r="K9" i="10"/>
  <c r="M8" i="10"/>
  <c r="B8" i="10"/>
  <c r="K7" i="10"/>
  <c r="N6" i="10"/>
  <c r="K6" i="10"/>
  <c r="N5" i="10"/>
  <c r="N14" i="10"/>
  <c r="Z13" i="10"/>
  <c r="AQ13" i="10" s="1"/>
  <c r="L29" i="10"/>
  <c r="H29" i="10"/>
  <c r="L28" i="10"/>
  <c r="H28" i="10"/>
  <c r="M27" i="10"/>
  <c r="B27" i="10"/>
  <c r="L26" i="10"/>
  <c r="H26" i="10"/>
  <c r="M25" i="10"/>
  <c r="N24" i="10"/>
  <c r="K24" i="10"/>
  <c r="N23" i="10"/>
  <c r="K23" i="10"/>
  <c r="B23" i="10"/>
  <c r="L22" i="10"/>
  <c r="B22" i="10"/>
  <c r="L21" i="10"/>
  <c r="H21" i="10"/>
  <c r="K19" i="10"/>
  <c r="N18" i="10"/>
  <c r="K18" i="10"/>
  <c r="B18" i="10"/>
  <c r="L17" i="10"/>
  <c r="H17" i="10"/>
  <c r="M16" i="10"/>
  <c r="B16" i="10"/>
  <c r="L15" i="10"/>
  <c r="H15" i="10"/>
  <c r="K13" i="10"/>
  <c r="B13" i="10"/>
  <c r="L12" i="10"/>
  <c r="H12" i="10"/>
  <c r="M11" i="10"/>
  <c r="N10" i="10"/>
  <c r="K10" i="10"/>
  <c r="B10" i="10"/>
  <c r="L9" i="10"/>
  <c r="H9" i="10"/>
  <c r="N8" i="10"/>
  <c r="K8" i="10"/>
  <c r="N7" i="10"/>
  <c r="L7" i="10"/>
  <c r="H7" i="10"/>
  <c r="M6" i="10"/>
  <c r="B6" i="10"/>
  <c r="L5" i="10"/>
  <c r="V35" i="9"/>
  <c r="V34" i="9"/>
  <c r="V52" i="9"/>
  <c r="W52" i="9" s="1"/>
  <c r="V36" i="9"/>
  <c r="I43" i="8"/>
  <c r="I56" i="8"/>
  <c r="I67" i="8"/>
  <c r="I81" i="8"/>
  <c r="I82" i="8"/>
  <c r="I83" i="8"/>
  <c r="N47" i="9"/>
  <c r="O47" i="9" s="1"/>
  <c r="X47" i="9" s="1"/>
  <c r="N60" i="9"/>
  <c r="O60" i="9" s="1"/>
  <c r="X60" i="9" s="1"/>
  <c r="N69" i="9"/>
  <c r="O69" i="9" s="1"/>
  <c r="X69" i="9" s="1"/>
  <c r="N77" i="9"/>
  <c r="O77" i="9" s="1"/>
  <c r="X77" i="9" s="1"/>
  <c r="N81" i="9"/>
  <c r="O81" i="9" s="1"/>
  <c r="X81" i="9" s="1"/>
  <c r="Y81" i="9" s="1"/>
  <c r="O80" i="9"/>
  <c r="X71" i="9"/>
  <c r="Y10" i="9" s="1"/>
  <c r="Z10" i="9" s="1"/>
  <c r="Y54" i="9"/>
  <c r="Y66" i="9"/>
  <c r="AD66" i="9" s="1"/>
  <c r="Y40" i="9"/>
  <c r="Y39" i="9"/>
  <c r="Y45" i="9"/>
  <c r="Y36" i="9"/>
  <c r="Y58" i="9"/>
  <c r="Y35" i="9"/>
  <c r="Y48" i="9"/>
  <c r="I52" i="10" l="1"/>
  <c r="I51" i="10"/>
  <c r="I50" i="10"/>
  <c r="I46" i="10"/>
  <c r="I44" i="10"/>
  <c r="I49" i="10"/>
  <c r="I47" i="10"/>
  <c r="I45" i="10"/>
  <c r="I43" i="10"/>
  <c r="Y4" i="9"/>
  <c r="I48" i="10"/>
  <c r="W5" i="9"/>
  <c r="E30" i="5"/>
  <c r="W60" i="9"/>
  <c r="E29" i="5"/>
  <c r="W47" i="9"/>
  <c r="E28" i="5"/>
  <c r="W34" i="9"/>
  <c r="E27" i="5"/>
  <c r="J44" i="10"/>
  <c r="J47" i="10"/>
  <c r="C31" i="10"/>
  <c r="D31" i="10"/>
  <c r="J31" i="10"/>
  <c r="F31" i="10"/>
  <c r="G31" i="10"/>
  <c r="E31" i="10"/>
  <c r="AL8" i="10"/>
  <c r="D4" i="16"/>
  <c r="G45" i="10"/>
  <c r="E45" i="10"/>
  <c r="D45" i="10"/>
  <c r="C45" i="10"/>
  <c r="J45" i="10"/>
  <c r="F45" i="10"/>
  <c r="F51" i="10"/>
  <c r="J51" i="10"/>
  <c r="D51" i="10"/>
  <c r="G51" i="10"/>
  <c r="C51" i="10"/>
  <c r="E51" i="10"/>
  <c r="J30" i="10"/>
  <c r="E30" i="10"/>
  <c r="C30" i="10"/>
  <c r="F30" i="10"/>
  <c r="G30" i="10"/>
  <c r="D30" i="10"/>
  <c r="D47" i="10"/>
  <c r="C47" i="10"/>
  <c r="F47" i="10"/>
  <c r="E47" i="10"/>
  <c r="G47" i="10"/>
  <c r="G44" i="10"/>
  <c r="D44" i="10"/>
  <c r="F44" i="10"/>
  <c r="E44" i="10"/>
  <c r="C44" i="10"/>
  <c r="G49" i="10"/>
  <c r="F49" i="10"/>
  <c r="D49" i="10"/>
  <c r="E49" i="10"/>
  <c r="C49" i="10"/>
  <c r="J49" i="10"/>
  <c r="AL7" i="10"/>
  <c r="G38" i="10"/>
  <c r="J38" i="10"/>
  <c r="D38" i="10"/>
  <c r="F38" i="10"/>
  <c r="E38" i="10"/>
  <c r="C38" i="10"/>
  <c r="B4" i="16" s="1"/>
  <c r="J53" i="10"/>
  <c r="G53" i="10"/>
  <c r="D53" i="10"/>
  <c r="E53" i="10"/>
  <c r="C53" i="10"/>
  <c r="F53" i="10"/>
  <c r="E54" i="10"/>
  <c r="F54" i="10"/>
  <c r="C54" i="10"/>
  <c r="G54" i="10"/>
  <c r="J54" i="10"/>
  <c r="D54" i="10"/>
  <c r="G39" i="10"/>
  <c r="F39" i="10"/>
  <c r="D39" i="10"/>
  <c r="E39" i="10"/>
  <c r="C39" i="10"/>
  <c r="E42" i="10"/>
  <c r="C42" i="10"/>
  <c r="J42" i="10"/>
  <c r="D42" i="10"/>
  <c r="F42" i="10"/>
  <c r="G42" i="10"/>
  <c r="C34" i="10"/>
  <c r="E34" i="10"/>
  <c r="D34" i="10"/>
  <c r="F34" i="10"/>
  <c r="J34" i="10"/>
  <c r="G34" i="10"/>
  <c r="G33" i="10"/>
  <c r="C33" i="10"/>
  <c r="F33" i="10"/>
  <c r="E33" i="10"/>
  <c r="D33" i="10"/>
  <c r="J33" i="10"/>
  <c r="E36" i="10"/>
  <c r="F36" i="10"/>
  <c r="C2" i="16" s="1"/>
  <c r="G36" i="10"/>
  <c r="C36" i="10"/>
  <c r="B2" i="16" s="1"/>
  <c r="J36" i="10"/>
  <c r="D36" i="10"/>
  <c r="F41" i="10"/>
  <c r="E41" i="10"/>
  <c r="J41" i="10"/>
  <c r="G41" i="10"/>
  <c r="C41" i="10"/>
  <c r="D41" i="10"/>
  <c r="F43" i="10"/>
  <c r="C43" i="10"/>
  <c r="G43" i="10"/>
  <c r="D43" i="10"/>
  <c r="J43" i="10"/>
  <c r="E43" i="10"/>
  <c r="F32" i="10"/>
  <c r="C32" i="10"/>
  <c r="D32" i="10"/>
  <c r="G32" i="10"/>
  <c r="J32" i="10"/>
  <c r="E32" i="10"/>
  <c r="J35" i="10"/>
  <c r="D35" i="10"/>
  <c r="F35" i="10"/>
  <c r="C35" i="10"/>
  <c r="E35" i="10"/>
  <c r="G35" i="10"/>
  <c r="F48" i="10"/>
  <c r="C48" i="10"/>
  <c r="G48" i="10"/>
  <c r="E48" i="10"/>
  <c r="J48" i="10"/>
  <c r="D48" i="10"/>
  <c r="D40" i="10"/>
  <c r="F40" i="10"/>
  <c r="E40" i="10"/>
  <c r="J40" i="10"/>
  <c r="G40" i="10"/>
  <c r="C40" i="10"/>
  <c r="G50" i="10"/>
  <c r="F50" i="10"/>
  <c r="C50" i="10"/>
  <c r="E50" i="10"/>
  <c r="J50" i="10"/>
  <c r="D50" i="10"/>
  <c r="C46" i="10"/>
  <c r="D46" i="10"/>
  <c r="E46" i="10"/>
  <c r="F46" i="10"/>
  <c r="G46" i="10"/>
  <c r="F52" i="10"/>
  <c r="G52" i="10"/>
  <c r="D52" i="10"/>
  <c r="E52" i="10"/>
  <c r="C52" i="10"/>
  <c r="G37" i="10"/>
  <c r="E37" i="10"/>
  <c r="F37" i="10"/>
  <c r="C3" i="16" s="1"/>
  <c r="J37" i="10"/>
  <c r="D37" i="10"/>
  <c r="C37" i="10"/>
  <c r="B3" i="16" s="1"/>
  <c r="J46" i="10"/>
  <c r="J52" i="10"/>
  <c r="J39" i="10"/>
  <c r="I32" i="10"/>
  <c r="I33" i="10"/>
  <c r="W29" i="9"/>
  <c r="I34" i="10"/>
  <c r="W28" i="9"/>
  <c r="I35" i="10"/>
  <c r="W27" i="9"/>
  <c r="G2" i="16" s="1"/>
  <c r="C12" i="16" s="1"/>
  <c r="I36" i="10"/>
  <c r="E2" i="16" s="1"/>
  <c r="W26" i="9"/>
  <c r="G3" i="16" s="1"/>
  <c r="D12" i="16" s="1"/>
  <c r="I37" i="10"/>
  <c r="E3" i="16" s="1"/>
  <c r="W25" i="9"/>
  <c r="I38" i="10"/>
  <c r="E4" i="16" s="1"/>
  <c r="W23" i="9"/>
  <c r="I39" i="10"/>
  <c r="W22" i="9"/>
  <c r="I40" i="10"/>
  <c r="W35" i="9"/>
  <c r="I31" i="10"/>
  <c r="W36" i="9"/>
  <c r="I30" i="10"/>
  <c r="Y21" i="9"/>
  <c r="Y71" i="9"/>
  <c r="Y25" i="9"/>
  <c r="Y63" i="9"/>
  <c r="Y51" i="9"/>
  <c r="AE51" i="9" s="1"/>
  <c r="Y38" i="9"/>
  <c r="AI17" i="10"/>
  <c r="AD44" i="9"/>
  <c r="F10" i="16"/>
  <c r="I19" i="10"/>
  <c r="I29" i="10"/>
  <c r="W38" i="9"/>
  <c r="I5" i="10"/>
  <c r="I6" i="10"/>
  <c r="W73" i="9"/>
  <c r="W72" i="9"/>
  <c r="I7" i="10"/>
  <c r="W71" i="9"/>
  <c r="I8" i="10"/>
  <c r="I9" i="10"/>
  <c r="W66" i="9"/>
  <c r="I10" i="10"/>
  <c r="W65" i="9"/>
  <c r="W64" i="9"/>
  <c r="I11" i="10"/>
  <c r="W63" i="9"/>
  <c r="I12" i="10"/>
  <c r="I13" i="10"/>
  <c r="W61" i="9"/>
  <c r="I14" i="10"/>
  <c r="W57" i="9"/>
  <c r="I15" i="10"/>
  <c r="W56" i="9"/>
  <c r="I16" i="10"/>
  <c r="W55" i="9"/>
  <c r="I17" i="10"/>
  <c r="W54" i="9"/>
  <c r="I18" i="10"/>
  <c r="W53" i="9"/>
  <c r="W51" i="9"/>
  <c r="I20" i="10"/>
  <c r="W49" i="9"/>
  <c r="I21" i="10"/>
  <c r="W48" i="9"/>
  <c r="I22" i="10"/>
  <c r="I23" i="10"/>
  <c r="W44" i="9"/>
  <c r="AF13" i="10"/>
  <c r="W43" i="9"/>
  <c r="I24" i="10"/>
  <c r="I25" i="10"/>
  <c r="W40" i="9"/>
  <c r="I27" i="10"/>
  <c r="W39" i="9"/>
  <c r="I28" i="10"/>
  <c r="J26" i="10"/>
  <c r="G26" i="10"/>
  <c r="F26" i="10"/>
  <c r="E26" i="10"/>
  <c r="D26" i="10"/>
  <c r="C26" i="10"/>
  <c r="J24" i="10"/>
  <c r="G24" i="10"/>
  <c r="F24" i="10"/>
  <c r="E24" i="10"/>
  <c r="D24" i="10"/>
  <c r="C24" i="10"/>
  <c r="X7" i="10"/>
  <c r="Z32" i="10"/>
  <c r="G21" i="10"/>
  <c r="F21" i="10"/>
  <c r="E21" i="10"/>
  <c r="D21" i="10"/>
  <c r="C21" i="10"/>
  <c r="J19" i="10"/>
  <c r="G19" i="10"/>
  <c r="F19" i="10"/>
  <c r="E19" i="10"/>
  <c r="D19" i="10"/>
  <c r="C19" i="10"/>
  <c r="J11" i="10"/>
  <c r="G11" i="10"/>
  <c r="F11" i="10"/>
  <c r="E11" i="10"/>
  <c r="D11" i="10"/>
  <c r="C11" i="10"/>
  <c r="J9" i="10"/>
  <c r="G9" i="10"/>
  <c r="F9" i="10"/>
  <c r="E9" i="10"/>
  <c r="D9" i="10"/>
  <c r="C9" i="10"/>
  <c r="J7" i="10"/>
  <c r="G7" i="10"/>
  <c r="F7" i="10"/>
  <c r="E7" i="10"/>
  <c r="D7" i="10"/>
  <c r="C7" i="10"/>
  <c r="J5" i="10"/>
  <c r="G5" i="10"/>
  <c r="F5" i="10"/>
  <c r="E5" i="10"/>
  <c r="D5" i="10"/>
  <c r="C5" i="10"/>
  <c r="AA19" i="10"/>
  <c r="AB19" i="10" s="1"/>
  <c r="J29" i="10"/>
  <c r="G29" i="10"/>
  <c r="F29" i="10"/>
  <c r="E29" i="10"/>
  <c r="D29" i="10"/>
  <c r="C29" i="10"/>
  <c r="J20" i="10"/>
  <c r="G20" i="10"/>
  <c r="F20" i="10"/>
  <c r="E20" i="10"/>
  <c r="D20" i="10"/>
  <c r="C20" i="10"/>
  <c r="J14" i="10"/>
  <c r="G14" i="10"/>
  <c r="F14" i="10"/>
  <c r="E14" i="10"/>
  <c r="D14" i="10"/>
  <c r="C14" i="10"/>
  <c r="J28" i="10"/>
  <c r="G28" i="10"/>
  <c r="F28" i="10"/>
  <c r="E28" i="10"/>
  <c r="D28" i="10"/>
  <c r="C28" i="10"/>
  <c r="J25" i="10"/>
  <c r="G25" i="10"/>
  <c r="F25" i="10"/>
  <c r="E25" i="10"/>
  <c r="D25" i="10"/>
  <c r="C25" i="10"/>
  <c r="J17" i="10"/>
  <c r="G17" i="10"/>
  <c r="F17" i="10"/>
  <c r="E17" i="10"/>
  <c r="D17" i="10"/>
  <c r="C17" i="10"/>
  <c r="J15" i="10"/>
  <c r="G15" i="10"/>
  <c r="F15" i="10"/>
  <c r="E15" i="10"/>
  <c r="D15" i="10"/>
  <c r="C15" i="10"/>
  <c r="J12" i="10"/>
  <c r="G12" i="10"/>
  <c r="F12" i="10"/>
  <c r="E12" i="10"/>
  <c r="D12" i="10"/>
  <c r="C12" i="10"/>
  <c r="J8" i="10"/>
  <c r="G8" i="10"/>
  <c r="F8" i="10"/>
  <c r="E8" i="10"/>
  <c r="D8" i="10"/>
  <c r="C8" i="10"/>
  <c r="J27" i="10"/>
  <c r="G27" i="10"/>
  <c r="F27" i="10"/>
  <c r="E27" i="10"/>
  <c r="D27" i="10"/>
  <c r="C27" i="10"/>
  <c r="J23" i="10"/>
  <c r="G23" i="10"/>
  <c r="F23" i="10"/>
  <c r="E23" i="10"/>
  <c r="D23" i="10"/>
  <c r="C23" i="10"/>
  <c r="G22" i="10"/>
  <c r="F22" i="10"/>
  <c r="E22" i="10"/>
  <c r="D22" i="10"/>
  <c r="C22" i="10"/>
  <c r="J18" i="10"/>
  <c r="G18" i="10"/>
  <c r="F18" i="10"/>
  <c r="E18" i="10"/>
  <c r="D18" i="10"/>
  <c r="C18" i="10"/>
  <c r="J16" i="10"/>
  <c r="G16" i="10"/>
  <c r="F16" i="10"/>
  <c r="E16" i="10"/>
  <c r="D16" i="10"/>
  <c r="C16" i="10"/>
  <c r="J13" i="10"/>
  <c r="G13" i="10"/>
  <c r="F13" i="10"/>
  <c r="E13" i="10"/>
  <c r="D13" i="10"/>
  <c r="C13" i="10"/>
  <c r="J10" i="10"/>
  <c r="G10" i="10"/>
  <c r="F10" i="10"/>
  <c r="E10" i="10"/>
  <c r="D10" i="10"/>
  <c r="C10" i="10"/>
  <c r="J6" i="10"/>
  <c r="G6" i="10"/>
  <c r="F6" i="10"/>
  <c r="E6" i="10"/>
  <c r="D6" i="10"/>
  <c r="C6" i="10"/>
  <c r="Y34" i="9"/>
  <c r="Y47" i="9"/>
  <c r="Y60" i="9"/>
  <c r="Y69" i="9"/>
  <c r="Y77" i="9"/>
  <c r="W41" i="9"/>
  <c r="AE63" i="9" l="1"/>
  <c r="AD63" i="9"/>
  <c r="G4" i="16"/>
  <c r="E12" i="16" s="1"/>
  <c r="F12" i="16" s="1"/>
  <c r="S13" i="10"/>
  <c r="D9" i="16"/>
  <c r="C4" i="16"/>
  <c r="S14" i="10"/>
  <c r="I2" i="16"/>
  <c r="H2" i="16"/>
  <c r="C9" i="16"/>
  <c r="Z25" i="9"/>
  <c r="AD19" i="10"/>
  <c r="D11" i="16"/>
  <c r="W18" i="10"/>
  <c r="X18" i="10" s="1"/>
  <c r="X26" i="10" s="1"/>
  <c r="X28" i="10" s="1"/>
  <c r="C11" i="16"/>
  <c r="E11" i="16"/>
  <c r="AE5" i="10"/>
  <c r="B7" i="16"/>
  <c r="B11" i="16"/>
  <c r="X8" i="10"/>
  <c r="Z6" i="10"/>
  <c r="S12" i="10"/>
  <c r="X1" i="10" s="1"/>
  <c r="AH9" i="10"/>
  <c r="AA28" i="10" s="1"/>
  <c r="E9" i="16" l="1"/>
  <c r="D7" i="16"/>
  <c r="Z5" i="10"/>
  <c r="F11" i="16"/>
  <c r="B6" i="16"/>
  <c r="D6" i="16"/>
  <c r="AJ34" i="10"/>
  <c r="AC28" i="10"/>
  <c r="AB28" i="10"/>
  <c r="AD28" i="10" l="1"/>
  <c r="AB13" i="10" s="1"/>
  <c r="AC13" i="10" s="1"/>
  <c r="AQ17" i="10" l="1"/>
  <c r="AQ27" i="10" s="1"/>
  <c r="AG13" i="10"/>
  <c r="AS13" i="10" l="1"/>
  <c r="AR13" i="10" s="1"/>
  <c r="AS15" i="10"/>
  <c r="AR15" i="10" s="1"/>
  <c r="AV14" i="10" s="1"/>
  <c r="AV13" i="10" l="1"/>
  <c r="AV16" i="10" s="1"/>
  <c r="AV26" i="10" s="1"/>
  <c r="AR17" i="10"/>
  <c r="AR27" i="10" s="1"/>
</calcChain>
</file>

<file path=xl/sharedStrings.xml><?xml version="1.0" encoding="utf-8"?>
<sst xmlns="http://schemas.openxmlformats.org/spreadsheetml/2006/main" count="1144" uniqueCount="319">
  <si>
    <t>Nº</t>
  </si>
  <si>
    <t>Referência:</t>
  </si>
  <si>
    <t>Vencimento:</t>
  </si>
  <si>
    <t>CNPJ/CPF</t>
  </si>
  <si>
    <t>Condição:</t>
  </si>
  <si>
    <t>Á vista</t>
  </si>
  <si>
    <t>Locatário:</t>
  </si>
  <si>
    <t>ASSOCIACAO MARANHENSE DE ENERGIA LIMPA</t>
  </si>
  <si>
    <t>61.434.675/0001-33</t>
  </si>
  <si>
    <t>Vermelha 2</t>
  </si>
  <si>
    <t>financeiro@amelsolar.com.br</t>
  </si>
  <si>
    <t>TOTAL</t>
  </si>
  <si>
    <t>Amarela</t>
  </si>
  <si>
    <t>Item</t>
  </si>
  <si>
    <t>Descrição</t>
  </si>
  <si>
    <t>Preço (R$)</t>
  </si>
  <si>
    <t>Quant</t>
  </si>
  <si>
    <t>Unit.</t>
  </si>
  <si>
    <t>Total</t>
  </si>
  <si>
    <t>Locação de Usina Fotovoltaica</t>
  </si>
  <si>
    <t>Valor total:</t>
  </si>
  <si>
    <t>Outras retenções:</t>
  </si>
  <si>
    <t>Valor a pagar:</t>
  </si>
  <si>
    <t>Observações</t>
  </si>
  <si>
    <t>Conferências</t>
  </si>
  <si>
    <t>Medição</t>
  </si>
  <si>
    <t>11/2025</t>
  </si>
  <si>
    <t>Atualizar geração na aba "Hist.Geração"</t>
  </si>
  <si>
    <t>G:\Drives compartilhados\8 Geração Distribuída\15. Operação e Manutenção\2.1 Contas de Luz Usinas Solar Maranhão</t>
  </si>
  <si>
    <t>Atualizar consumo na aba "Hist.Consumo"</t>
  </si>
  <si>
    <t>Atualizar rateio (se houver mudança)   - "Cad.Consumo - Paula</t>
  </si>
  <si>
    <t>Atualizar banceira tarifária - "Hist BT" - google - site gov (ANEEL)</t>
  </si>
  <si>
    <t xml:space="preserve">Paula confere  as medições e saldos Acumulados (aba medições) </t>
  </si>
  <si>
    <t>Emitir faturas na ana "Faturas" com base no número do recibo da aba medições</t>
  </si>
  <si>
    <t>Cadastro Usinas</t>
  </si>
  <si>
    <t>Nome</t>
  </si>
  <si>
    <t>Conta Contrato</t>
  </si>
  <si>
    <t>Instalação</t>
  </si>
  <si>
    <t>Potência (kW)</t>
  </si>
  <si>
    <t>Geração Mês (kWh)</t>
  </si>
  <si>
    <t>CNPJ Titular</t>
  </si>
  <si>
    <t>E-mail de acesso equatorial</t>
  </si>
  <si>
    <t>Desconto</t>
  </si>
  <si>
    <t>Desconto Band. Tar.</t>
  </si>
  <si>
    <t>Dia de leitura</t>
  </si>
  <si>
    <t>Endereço (igual a conta)</t>
  </si>
  <si>
    <t>Razão do Titular</t>
  </si>
  <si>
    <t>Data de Inicio</t>
  </si>
  <si>
    <t>Data de Saída</t>
  </si>
  <si>
    <t>Usina 1</t>
  </si>
  <si>
    <t>43.790.285/0001-14</t>
  </si>
  <si>
    <t>RD MA 315 , S/N , TRATA SE DE UMA USINA DE GERACAO CEP: 65590-000 JATOBA - BARREIRINHAS - MA</t>
  </si>
  <si>
    <t>SOLAR MARANHAO ENERGIAS RENOVAVEIS LTDA</t>
  </si>
  <si>
    <t>Usina 2</t>
  </si>
  <si>
    <t>45.101.934/0001-58</t>
  </si>
  <si>
    <t>RD SAO SEBASTIAO , S/N , RODOVIA MA 315 KM 21 8 SN CEP: 65590-000 AEROPORTO NOVO - BARREIRINHAS - MA</t>
  </si>
  <si>
    <t>EMPRESA DE GERACAO DE ENERGIA FOTOVOLTAICA MARANHENSE 02 (EGEFOM02) SPE LTDA</t>
  </si>
  <si>
    <t>Usina 3</t>
  </si>
  <si>
    <t>45.181.504/0001-93</t>
  </si>
  <si>
    <t xml:space="preserve">PV MANGABA , S/N , RUA PROJETADA CEP: 65590-000 MANGABA - BARREIRINHAS - MA </t>
  </si>
  <si>
    <t>EMPRESA DE GERACAO DE ENERGIA FOTOVOLTAICA MARANHENSE 05 (EGEFOM05) SPE LTDA</t>
  </si>
  <si>
    <t>Cadastro Rateio Consumo</t>
  </si>
  <si>
    <t>#</t>
  </si>
  <si>
    <t>Tipo Instalação</t>
  </si>
  <si>
    <t>Consumo Médio (kWh)</t>
  </si>
  <si>
    <t>Usina Associada</t>
  </si>
  <si>
    <t>Percentual Rateio (%)</t>
  </si>
  <si>
    <t>Vigente</t>
  </si>
  <si>
    <t>E-mail Cobrança</t>
  </si>
  <si>
    <t>Data de Nascimento</t>
  </si>
  <si>
    <t>3.1</t>
  </si>
  <si>
    <t>Associação dos Moradores do Residencial Araçagy</t>
  </si>
  <si>
    <t>20.069.500/0001-97</t>
  </si>
  <si>
    <t>Comercial</t>
  </si>
  <si>
    <t>R. da Agranja , 50 , CP 26 CS 59 PS 1, CEP: 65138-000 Aracagi - Raposa - MA</t>
  </si>
  <si>
    <t>3.2</t>
  </si>
  <si>
    <t>R. da Agranja , 50 , CP 26 CS 36 PS 4, cep: 65138-000 Aracagi - Raposa - MA</t>
  </si>
  <si>
    <t>3.3</t>
  </si>
  <si>
    <t>R. Granja , s/n , CP 26 CS 36 PS 1, cep: 65138-000 Aracagi - Raposa - MA,</t>
  </si>
  <si>
    <t>suporteigsgestao@gmail.com</t>
  </si>
  <si>
    <t>claudemirgeo@icloud.com</t>
  </si>
  <si>
    <t>alteração não implementada</t>
  </si>
  <si>
    <t>3.4</t>
  </si>
  <si>
    <t>Antonio Jose Souza Filho</t>
  </si>
  <si>
    <t>682.957.583-49</t>
  </si>
  <si>
    <t>Residencial</t>
  </si>
  <si>
    <t>R. 03 , 23 , LOT ALTO DO JAGUAREMA QD 05 LOT - ALTO DO JAGUAREMA QD 05 CEP: 65110-000 ARACAGY</t>
  </si>
  <si>
    <t>3.5</t>
  </si>
  <si>
    <t>João Carlos Pereira Dutra Filho</t>
  </si>
  <si>
    <t>064837473-49</t>
  </si>
  <si>
    <t>R. 13 , 31 , QD 7 QD 7 CEP: 65010-000 PLN - VINHAIS II - SAO LUIS - MA</t>
  </si>
  <si>
    <t>/</t>
  </si>
  <si>
    <t>3.6</t>
  </si>
  <si>
    <t>Patricia Maria Abreu Machado</t>
  </si>
  <si>
    <t>676.211.553-53</t>
  </si>
  <si>
    <t>R. MARIA F REIS , 20 , QD B CONJ BASA QD B CONJ BASA CEP: 65010-000 SAO FRANCISCO, na cidade de São Luís, Estado do Maranhão</t>
  </si>
  <si>
    <t>3.7</t>
  </si>
  <si>
    <t>Fatima Abdel Hafiz Khalifa Cavalcanti</t>
  </si>
  <si>
    <t>840.670.553-15</t>
  </si>
  <si>
    <t>Rua Nova nº63, Anil, São Luis, MA CEP: 65046-160</t>
  </si>
  <si>
    <t>98 8124-7136</t>
  </si>
  <si>
    <t>3.0</t>
  </si>
  <si>
    <t>PJ</t>
  </si>
  <si>
    <t>2.1</t>
  </si>
  <si>
    <t>Lucas Medeiros Lima</t>
  </si>
  <si>
    <t>612.634.903-28</t>
  </si>
  <si>
    <t>VL ARISTOTELES , S/N , RUA FRANCISCO MARCELINO DE MEDEIROS RUA FRANCISCO MARCELINO DE MEDEIROS CEP: 65728-000 CENTRO - LIMA CAMPOS - MA</t>
  </si>
  <si>
    <t>(99) 8262-4178</t>
  </si>
  <si>
    <t>2.2</t>
  </si>
  <si>
    <t>SORRISO SAUDE ODONTOLOGIA LTDA</t>
  </si>
  <si>
    <t>60.080.581/0001-40</t>
  </si>
  <si>
    <t>AV RAIMUNDO CORREIA DA SILVA , 1346 , B B CEP: 65633-641 CIDADE NOVA - TIMON - MA</t>
  </si>
  <si>
    <t>+55 86 8824-9275</t>
  </si>
  <si>
    <t>2.0</t>
  </si>
  <si>
    <t>1.0</t>
  </si>
  <si>
    <t>Max</t>
  </si>
  <si>
    <t>Média</t>
  </si>
  <si>
    <t>Tipo</t>
  </si>
  <si>
    <t>PF</t>
  </si>
  <si>
    <t>Histórico Geração Usinas</t>
  </si>
  <si>
    <t>Leitura</t>
  </si>
  <si>
    <t>Referência</t>
  </si>
  <si>
    <t>07/2025</t>
  </si>
  <si>
    <t>08/2025</t>
  </si>
  <si>
    <t>09/2025</t>
  </si>
  <si>
    <t>10/2025</t>
  </si>
  <si>
    <t>Histórico Consumo</t>
  </si>
  <si>
    <t>Consumo</t>
  </si>
  <si>
    <t>Dev Geração</t>
  </si>
  <si>
    <t>Adicional Bandeira</t>
  </si>
  <si>
    <t>Tributos (Aliquota</t>
  </si>
  <si>
    <t>Adicionais</t>
  </si>
  <si>
    <t>Observação</t>
  </si>
  <si>
    <t>Consumidores</t>
  </si>
  <si>
    <t>Consumo Médio</t>
  </si>
  <si>
    <t>Vencimento</t>
  </si>
  <si>
    <t>Quantidade</t>
  </si>
  <si>
    <t>Tarifa</t>
  </si>
  <si>
    <t>Valor R$</t>
  </si>
  <si>
    <t>ICMS</t>
  </si>
  <si>
    <t>Pis</t>
  </si>
  <si>
    <t>Cofins</t>
  </si>
  <si>
    <t>Tarifa Vigente</t>
  </si>
  <si>
    <t>12/2025</t>
  </si>
  <si>
    <t>A Equatorial cobrou errado uma tarida de GD2 , gerando itens que não são devidos: 1)Benefício Tarifário Bruto SCEE R$ 961,08 e 2) (-) Benefício Tarifário Líquido SCEE 702,62. O saldo deste valor foi dado como desconto para não te afetar os 15% de desconto na conta até que a Equatorial reverter esse valor.</t>
  </si>
  <si>
    <t>A Equatorial errou no faturamento e cobrou indevidamente uma tarifa adicional:1)Benefício Tarifário Bruto SCEE e 2) (-) Benefício Tarifário Líquido SCEE . O saldo deste valor foi dado como desconto para não te afetar os 15% de desconto na conta até que a Equatorial reverter esse valor.</t>
  </si>
  <si>
    <t>28/10025</t>
  </si>
  <si>
    <t>C.Comopensado</t>
  </si>
  <si>
    <t>Energia pela Equatorial</t>
  </si>
  <si>
    <t>Bandeira Tarifária</t>
  </si>
  <si>
    <t>Locação</t>
  </si>
  <si>
    <t>Economia</t>
  </si>
  <si>
    <t>Saldo de Geração</t>
  </si>
  <si>
    <t>Saldo</t>
  </si>
  <si>
    <t>Vencimento fatura</t>
  </si>
  <si>
    <t>Economia Acumulada</t>
  </si>
  <si>
    <t>Consumo Compensado Acumulado</t>
  </si>
  <si>
    <t>Ação</t>
  </si>
  <si>
    <t>Geração</t>
  </si>
  <si>
    <t>Recibo</t>
  </si>
  <si>
    <t>Recibos</t>
  </si>
  <si>
    <t>Referência Consumo</t>
  </si>
  <si>
    <t>Referência Geração</t>
  </si>
  <si>
    <t>Geração Proporcional</t>
  </si>
  <si>
    <t>Consumo Compensado</t>
  </si>
  <si>
    <t>Valor</t>
  </si>
  <si>
    <t>Mês</t>
  </si>
  <si>
    <t>Acumulado</t>
  </si>
  <si>
    <t>GD2</t>
  </si>
  <si>
    <t>Percentual errado</t>
  </si>
  <si>
    <t>Recorremos na esfera administrativa para o refaturamento para conta de 11/2025 e foi indeferida. Estamos entrando com um processo na ouvidoria para reverter a decisão</t>
  </si>
  <si>
    <t>A Equatorial  errou no percentual do rateio da geração. Para o próximo ciclo já será corrigido. Estou cobrando o refaturamento, mas ainda não consegui.</t>
  </si>
  <si>
    <t>Vermelha – patamar 1</t>
  </si>
  <si>
    <t>Código</t>
  </si>
  <si>
    <t>Coluna1</t>
  </si>
  <si>
    <t>Cliente</t>
  </si>
  <si>
    <t>Identificação</t>
  </si>
  <si>
    <t>Coluna2</t>
  </si>
  <si>
    <t>Conta Contrato Geração</t>
  </si>
  <si>
    <t>Consumo C.Acumulado</t>
  </si>
  <si>
    <t>FATURA</t>
  </si>
  <si>
    <t>ENVIO</t>
  </si>
  <si>
    <t>AMEL</t>
  </si>
  <si>
    <t>Dados do Cliente:</t>
  </si>
  <si>
    <t>Mês de referência:</t>
  </si>
  <si>
    <t>CNPJ: 61.434.675/0001-33</t>
  </si>
  <si>
    <t>Consumo  pela Equatorial</t>
  </si>
  <si>
    <t xml:space="preserve">Tarifa Equatorial </t>
  </si>
  <si>
    <t>Valor Energia Equatorial</t>
  </si>
  <si>
    <t>Fatura Locação Usina</t>
  </si>
  <si>
    <t>Economia Real</t>
  </si>
  <si>
    <t>(kWh)</t>
  </si>
  <si>
    <t>(R$/kWh)</t>
  </si>
  <si>
    <t xml:space="preserve"> (R$)</t>
  </si>
  <si>
    <t>%</t>
  </si>
  <si>
    <t>Simulação Conta Equatorial</t>
  </si>
  <si>
    <t>Conta c/ Solar</t>
  </si>
  <si>
    <t>Conta c/ Solar + erro Equatorial</t>
  </si>
  <si>
    <t>A</t>
  </si>
  <si>
    <t>B</t>
  </si>
  <si>
    <t>C</t>
  </si>
  <si>
    <t>D=B*C</t>
  </si>
  <si>
    <t>E</t>
  </si>
  <si>
    <t>F=B*tarifa bandeira</t>
  </si>
  <si>
    <t>G=(d+F)*(1-15%)</t>
  </si>
  <si>
    <t>H=G/(D+F)-1</t>
  </si>
  <si>
    <t>desc</t>
  </si>
  <si>
    <t>Energia</t>
  </si>
  <si>
    <t>Bandeira tarifária</t>
  </si>
  <si>
    <t>Composição do Saldo</t>
  </si>
  <si>
    <t>Cálculo Co2 Evitado</t>
  </si>
  <si>
    <t>Desconto erro</t>
  </si>
  <si>
    <t>Energia da Sua Usina</t>
  </si>
  <si>
    <t>Energia Consumida</t>
  </si>
  <si>
    <t>Crédito Acumulado do Mês</t>
  </si>
  <si>
    <t>Crédito Acumulado do Total</t>
  </si>
  <si>
    <t>Consumo Compesado Acumulado</t>
  </si>
  <si>
    <t>CO2</t>
  </si>
  <si>
    <t>Sub-total</t>
  </si>
  <si>
    <t>Itens adicionais</t>
  </si>
  <si>
    <t>Itens Adicionais</t>
  </si>
  <si>
    <t>Cip-Ilum Pub Pref Munic</t>
  </si>
  <si>
    <t xml:space="preserve">Multa </t>
  </si>
  <si>
    <t xml:space="preserve">Correção Monetária </t>
  </si>
  <si>
    <t xml:space="preserve">Juros </t>
  </si>
  <si>
    <t>Demonstrativo de Tarifas</t>
  </si>
  <si>
    <t xml:space="preserve">Cobrança Errada </t>
  </si>
  <si>
    <t>Alíquota Vigente</t>
  </si>
  <si>
    <t>ICMS vigente</t>
  </si>
  <si>
    <t>Tarifa Média Vigente</t>
  </si>
  <si>
    <t>Subtotal</t>
  </si>
  <si>
    <t>COFINS</t>
  </si>
  <si>
    <t>OK</t>
  </si>
  <si>
    <t>R$/kWh</t>
  </si>
  <si>
    <t>TOTAL COM ENERGIA</t>
  </si>
  <si>
    <t>Pagamento com boleto bancário</t>
  </si>
  <si>
    <t>Equatorial</t>
  </si>
  <si>
    <t>Fatura correspondente a aluguel conforme contrato de locação.</t>
  </si>
  <si>
    <t>Tarifa 2025</t>
  </si>
  <si>
    <t>Tarifa 2026</t>
  </si>
  <si>
    <t>Em 28/08/2025 entrou em vigência a nova tarifa da Equatorial aprovada pela resolução da ANEEL 3.521/2025 no valor de 0,84318 kWh , sendo que até esta data a tarifa era de 0,71081 kWh, portanto no mês de 09/2025 foi aplicada pela Equatorial uma tarifa proporcional ao período de inicio de vigência da nova tarifa.</t>
  </si>
  <si>
    <t>Este recibo corresponde à locação de usina fotovoltaica, conforme contrato vigente.</t>
  </si>
  <si>
    <t>Em caso de dúvidas, entre em contato: financeiro@amel.br |98 3042-2025</t>
  </si>
  <si>
    <t>Hitórico Bandeira Tarifária</t>
  </si>
  <si>
    <t>Tarifas 2024</t>
  </si>
  <si>
    <t>Tarifa vigente</t>
  </si>
  <si>
    <t>Tarifa c/ Imposto</t>
  </si>
  <si>
    <t>Verde</t>
  </si>
  <si>
    <t>01/2024</t>
  </si>
  <si>
    <t>02/2024</t>
  </si>
  <si>
    <t>Vermelha 1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</si>
  <si>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</si>
  <si>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</si>
  <si>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</si>
  <si>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</si>
  <si>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</si>
  <si>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</si>
  <si>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</si>
  <si>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</si>
  <si>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</si>
  <si>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</si>
  <si>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</si>
  <si>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</si>
  <si>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</si>
  <si>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</si>
  <si>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</si>
  <si>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</si>
  <si>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Unidade</t>
  </si>
  <si>
    <t>3.8</t>
  </si>
  <si>
    <t>Consumidor</t>
  </si>
  <si>
    <t>Ref</t>
  </si>
  <si>
    <t>8/2025</t>
  </si>
  <si>
    <t>Energia Comensada</t>
  </si>
  <si>
    <t>Email</t>
  </si>
  <si>
    <t>Rateio Aprovado</t>
  </si>
  <si>
    <t>Rateio Faturado</t>
  </si>
  <si>
    <t>Gração Compensada (kWh)</t>
  </si>
  <si>
    <t>Economia com sua conta de energia no mês</t>
  </si>
  <si>
    <t>Atenciosamente,</t>
  </si>
  <si>
    <t>Paula Makaron</t>
  </si>
  <si>
    <t>O contrato foi feito com base no consumo médio de 777 kwh e em dezembro foi consumido energia maior que a média por isso a energia paga pela Equatorial foi maior. Se existir uma tendência de aumento do consumo da energia favor nos informar para ajustarmos o contrato.</t>
  </si>
  <si>
    <t>D</t>
  </si>
  <si>
    <t>E=A/((1-B-B)*(1-D))</t>
  </si>
  <si>
    <t>Energia Compensada</t>
  </si>
  <si>
    <t>ok</t>
  </si>
  <si>
    <t xml:space="preserve"> 27/12/2025</t>
  </si>
  <si>
    <t>01/2026</t>
  </si>
  <si>
    <t>Bandeira</t>
  </si>
  <si>
    <t>Reduzir Percentual</t>
  </si>
  <si>
    <t>Aumentar Percentual</t>
  </si>
  <si>
    <t>CPF</t>
  </si>
  <si>
    <t>Data Nascimento</t>
  </si>
  <si>
    <t>Envio a sua conta de energia de jan/26 com o crédito da geração solar!</t>
  </si>
  <si>
    <t>Se você ficar com alguma dúvida estou a disposição</t>
  </si>
  <si>
    <t>A boa notícia é que depois de 8 meses com adicional de bandeira tarifária em jan/26 o governo aprovou a bandeira verde , portanto sem cobrança adicional na conta de luz</t>
  </si>
  <si>
    <t>Assim como o demonstrativo, a fatura, e o boleto do mesmo período</t>
  </si>
  <si>
    <t>Hitórico Medições</t>
  </si>
  <si>
    <t>Total Combrança adicional GD2</t>
  </si>
  <si>
    <t>02/2026</t>
  </si>
  <si>
    <t>Ana Maria Marques De Brito</t>
  </si>
  <si>
    <t>920.517.663-04</t>
  </si>
  <si>
    <t>R. F , 20 , QD 5 QD 5 CEP: 65010-000 PQ ATENAS
- SAO LUIS - MA</t>
  </si>
  <si>
    <t>2.3</t>
  </si>
  <si>
    <t>José de Ribamar Aguiar Costa (Zeca)</t>
  </si>
  <si>
    <t>225.692.943-49</t>
  </si>
  <si>
    <t>R. PRINCIPAL , 10 , CEP: 65590-000 BOA VISTA -
BARREIRINHAS - MA</t>
  </si>
  <si>
    <t>2.4</t>
  </si>
  <si>
    <t>Fernando Fonseca Diniz  (Andre TVN)</t>
  </si>
  <si>
    <t>011.087.293-20</t>
  </si>
  <si>
    <t>AL E , 801 , APT TORRE DA MANHA BRISAS LIFE APT
TORRE DA MANHA BRISAS LIFE CEP: 65070-628 ALTO
DO CALHAU - SAO LUIS - MA</t>
  </si>
  <si>
    <t>02/2027</t>
  </si>
  <si>
    <t>02/2028</t>
  </si>
  <si>
    <t>GD3</t>
  </si>
  <si>
    <t>01/2028</t>
  </si>
  <si>
    <t>GD4</t>
  </si>
  <si>
    <t>Whatsaap de Cobrança</t>
  </si>
  <si>
    <t>Acesso equatorial</t>
  </si>
  <si>
    <t>SaldoAcumulado Geração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</si>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</sst>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64" formatCode="_-&quot;R$&quot;\ * #,##0.00_-;\-&quot;R$&quot;\ * #,##0.00_-;_-&quot;R$&quot;\ * &quot;-&quot;??_-;_-@"/>
    <numFmt numFmtId="165" formatCode="_-* #,##0.00_-;\-* #,##0.00_-;_-* &quot;-&quot;??_-;_-@"/>
    <numFmt numFmtId="166" formatCode="_-* #,##0.00000_-;\-* #,##0.00000_-;_-* &quot;-&quot;??_-;_-@"/>
    <numFmt numFmtId="167" formatCode="&quot;R$&quot;\ #,##0.00"/>
    <numFmt numFmtId="168" formatCode="_-* #,##0_-;\-* #,##0_-;_-* &quot;-&quot;??_-;_-@"/>
    <numFmt numFmtId="169" formatCode="0.000%"/>
    <numFmt numFmtId="170" formatCode="0.00000"/>
    <numFmt numFmtId="171" formatCode="0.0000%"/>
    <numFmt numFmtId="172" formatCode="_-* #,##0.000000_-;\-* #,##0.000000_-;_-* &quot;-&quot;??_-;_-@"/>
    <numFmt numFmtId="173" formatCode="_-* #,##0.000_-;\-* #,##0.000_-;_-* &quot;-&quot;??_-;_-@"/>
    <numFmt numFmtId="174" formatCode="_-* #,##0.0_-;\-* #,##0.0_-;_-* &quot;-&quot;??_-;_-@"/>
    <numFmt numFmtId="175" formatCode="_-[$R$-416]\ * #,##0.00_-;\-[$R$-416]\ * #,##0.00_-;_-[$R$-416]\ * &quot;-&quot;??_-;_-@"/>
    <numFmt numFmtId="176" formatCode="_-* #,##0.0000_-;\-* #,##0.0000_-;_-* &quot;-&quot;??_-;_-@"/>
    <numFmt numFmtId="177" formatCode="_-* #,##0.0000_-;\-* #,##0.0000_-;_-* &quot;-&quot;????_-;_-@"/>
    <numFmt numFmtId="178" formatCode="_-* #,##0.0000000_-;\-* #,##0.0000000_-;_-* &quot;-&quot;??_-;_-@"/>
    <numFmt numFmtId="179" formatCode="0.000000"/>
    <numFmt numFmtId="180" formatCode="_-* #,##0.00000000_-;\-* #,##0.00000000_-;_-* &quot;-&quot;??_-;_-@"/>
    <numFmt numFmtId="181" formatCode="_-* #,##0.000000_-;\-* #,##0.000000_-;_-* &quot;-&quot;??????_-;_-@_-"/>
  </numFmts>
  <fonts count="36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4"/>
      <color rgb="FF435938"/>
      <name val="Calibri"/>
      <family val="2"/>
    </font>
    <font>
      <b/>
      <u/>
      <sz val="11"/>
      <color rgb="FF88D94E"/>
      <name val="Calibri"/>
      <family val="2"/>
    </font>
    <font>
      <b/>
      <sz val="6"/>
      <color rgb="FFFF0000"/>
      <name val="Calibri"/>
      <family val="2"/>
    </font>
    <font>
      <b/>
      <sz val="11"/>
      <color rgb="FF88D94E"/>
      <name val="Calibri"/>
      <family val="2"/>
    </font>
    <font>
      <b/>
      <u/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9"/>
      <color rgb="FF000000"/>
      <name val="Aptos Narrow"/>
      <family val="2"/>
    </font>
    <font>
      <sz val="11"/>
      <color rgb="FF000000"/>
      <name val="Aptos Narrow"/>
      <family val="2"/>
    </font>
    <font>
      <b/>
      <u/>
      <sz val="11"/>
      <color theme="1"/>
      <name val="Calibri"/>
      <family val="2"/>
    </font>
    <font>
      <sz val="11"/>
      <color rgb="FFF2F2F2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u/>
      <sz val="14"/>
      <color theme="1"/>
      <name val="Times New Roman"/>
      <family val="1"/>
    </font>
    <font>
      <sz val="7"/>
      <color theme="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scheme val="minor"/>
    </font>
    <font>
      <sz val="8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35938"/>
        <bgColor rgb="FF435938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88D94E"/>
        <bgColor rgb="FF88D94E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8DB3E2"/>
        <bgColor rgb="FF8DB3E2"/>
      </patternFill>
    </fill>
    <fill>
      <patternFill patternType="solid">
        <fgColor theme="4"/>
        <bgColor theme="4"/>
      </patternFill>
    </fill>
    <fill>
      <patternFill patternType="solid">
        <fgColor rgb="FF17365D"/>
        <bgColor rgb="FF17365D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ABF8F"/>
        <bgColor rgb="FFFABF8F"/>
      </patternFill>
    </fill>
    <fill>
      <patternFill patternType="solid">
        <fgColor rgb="FF244061"/>
        <bgColor rgb="FF244061"/>
      </patternFill>
    </fill>
    <fill>
      <patternFill patternType="solid">
        <fgColor rgb="FF4F6128"/>
        <bgColor rgb="FF4F6128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theme="6"/>
        <bgColor theme="0"/>
      </patternFill>
    </fill>
    <fill>
      <patternFill patternType="solid">
        <fgColor rgb="FFFFFF00"/>
        <bgColor rgb="FFDAEEF3"/>
      </patternFill>
    </fill>
    <fill>
      <patternFill patternType="solid">
        <fgColor theme="9"/>
        <bgColor theme="0"/>
      </patternFill>
    </fill>
    <fill>
      <patternFill patternType="solid">
        <fgColor theme="6"/>
        <bgColor rgb="FFFABF8F"/>
      </patternFill>
    </fill>
    <fill>
      <patternFill patternType="solid">
        <fgColor theme="6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rgb="FFDAEEF3"/>
      </patternFill>
    </fill>
  </fills>
  <borders count="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34" fillId="0" borderId="0" applyFont="0" applyFill="0" applyBorder="0" applyAlignment="0" applyProtection="0"/>
  </cellStyleXfs>
  <cellXfs count="32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9" xfId="0" applyFont="1" applyFill="1" applyBorder="1"/>
    <xf numFmtId="0" fontId="1" fillId="2" borderId="5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14" fontId="1" fillId="2" borderId="9" xfId="0" applyNumberFormat="1" applyFont="1" applyFill="1" applyBorder="1" applyAlignment="1">
      <alignment horizontal="center"/>
    </xf>
    <xf numFmtId="17" fontId="1" fillId="2" borderId="4" xfId="0" applyNumberFormat="1" applyFont="1" applyFill="1" applyBorder="1"/>
    <xf numFmtId="17" fontId="1" fillId="2" borderId="9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0" fontId="4" fillId="2" borderId="5" xfId="0" applyFont="1" applyFill="1" applyBorder="1"/>
    <xf numFmtId="0" fontId="4" fillId="2" borderId="4" xfId="0" applyFont="1" applyFill="1" applyBorder="1"/>
    <xf numFmtId="0" fontId="1" fillId="2" borderId="15" xfId="0" applyFont="1" applyFill="1" applyBorder="1"/>
    <xf numFmtId="0" fontId="1" fillId="2" borderId="2" xfId="0" applyFont="1" applyFill="1" applyBorder="1" applyAlignment="1">
      <alignment horizontal="center"/>
    </xf>
    <xf numFmtId="164" fontId="1" fillId="2" borderId="4" xfId="0" applyNumberFormat="1" applyFont="1" applyFill="1" applyBorder="1"/>
    <xf numFmtId="164" fontId="1" fillId="2" borderId="3" xfId="0" applyNumberFormat="1" applyFont="1" applyFill="1" applyBorder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7" fontId="1" fillId="2" borderId="4" xfId="0" applyNumberFormat="1" applyFont="1" applyFill="1" applyBorder="1"/>
    <xf numFmtId="164" fontId="1" fillId="2" borderId="9" xfId="0" applyNumberFormat="1" applyFont="1" applyFill="1" applyBorder="1"/>
    <xf numFmtId="0" fontId="1" fillId="2" borderId="22" xfId="0" applyFont="1" applyFill="1" applyBorder="1" applyAlignment="1">
      <alignment horizontal="center" vertical="center"/>
    </xf>
    <xf numFmtId="16" fontId="1" fillId="2" borderId="4" xfId="0" applyNumberFormat="1" applyFont="1" applyFill="1" applyBorder="1" applyAlignment="1">
      <alignment horizontal="center"/>
    </xf>
    <xf numFmtId="10" fontId="1" fillId="2" borderId="4" xfId="0" applyNumberFormat="1" applyFont="1" applyFill="1" applyBorder="1"/>
    <xf numFmtId="164" fontId="4" fillId="2" borderId="9" xfId="0" applyNumberFormat="1" applyFont="1" applyFill="1" applyBorder="1"/>
    <xf numFmtId="0" fontId="4" fillId="2" borderId="14" xfId="0" applyFont="1" applyFill="1" applyBorder="1"/>
    <xf numFmtId="0" fontId="7" fillId="2" borderId="5" xfId="0" applyFont="1" applyFill="1" applyBorder="1"/>
    <xf numFmtId="0" fontId="8" fillId="2" borderId="4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5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9" fillId="2" borderId="4" xfId="0" applyFont="1" applyFill="1" applyBorder="1"/>
    <xf numFmtId="0" fontId="1" fillId="2" borderId="4" xfId="0" quotePrefix="1" applyFont="1" applyFill="1" applyBorder="1"/>
    <xf numFmtId="14" fontId="1" fillId="2" borderId="4" xfId="0" applyNumberFormat="1" applyFont="1" applyFill="1" applyBorder="1"/>
    <xf numFmtId="0" fontId="10" fillId="2" borderId="4" xfId="0" applyFont="1" applyFill="1" applyBorder="1"/>
    <xf numFmtId="0" fontId="1" fillId="5" borderId="4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2" xfId="0" applyFont="1" applyBorder="1"/>
    <xf numFmtId="0" fontId="1" fillId="2" borderId="22" xfId="0" applyFont="1" applyFill="1" applyBorder="1"/>
    <xf numFmtId="165" fontId="1" fillId="2" borderId="22" xfId="0" applyNumberFormat="1" applyFont="1" applyFill="1" applyBorder="1"/>
    <xf numFmtId="9" fontId="1" fillId="2" borderId="22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center"/>
    </xf>
    <xf numFmtId="14" fontId="1" fillId="2" borderId="22" xfId="0" applyNumberFormat="1" applyFont="1" applyFill="1" applyBorder="1" applyAlignment="1">
      <alignment horizontal="left" vertical="center"/>
    </xf>
    <xf numFmtId="0" fontId="1" fillId="2" borderId="26" xfId="0" applyFont="1" applyFill="1" applyBorder="1"/>
    <xf numFmtId="0" fontId="11" fillId="2" borderId="4" xfId="0" applyFont="1" applyFill="1" applyBorder="1"/>
    <xf numFmtId="0" fontId="4" fillId="5" borderId="4" xfId="0" applyFont="1" applyFill="1" applyBorder="1" applyAlignment="1">
      <alignment horizontal="center" vertical="center" wrapText="1"/>
    </xf>
    <xf numFmtId="168" fontId="1" fillId="2" borderId="22" xfId="0" applyNumberFormat="1" applyFont="1" applyFill="1" applyBorder="1"/>
    <xf numFmtId="10" fontId="1" fillId="6" borderId="22" xfId="0" applyNumberFormat="1" applyFont="1" applyFill="1" applyBorder="1" applyAlignment="1">
      <alignment horizontal="center" vertical="center"/>
    </xf>
    <xf numFmtId="0" fontId="12" fillId="7" borderId="22" xfId="0" applyFont="1" applyFill="1" applyBorder="1"/>
    <xf numFmtId="165" fontId="13" fillId="2" borderId="4" xfId="0" applyNumberFormat="1" applyFont="1" applyFill="1" applyBorder="1"/>
    <xf numFmtId="165" fontId="1" fillId="2" borderId="4" xfId="0" applyNumberFormat="1" applyFont="1" applyFill="1" applyBorder="1"/>
    <xf numFmtId="0" fontId="14" fillId="8" borderId="2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165" fontId="14" fillId="2" borderId="22" xfId="0" applyNumberFormat="1" applyFont="1" applyFill="1" applyBorder="1" applyAlignment="1">
      <alignment horizontal="left" vertical="center"/>
    </xf>
    <xf numFmtId="10" fontId="14" fillId="6" borderId="22" xfId="0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left" vertical="center"/>
    </xf>
    <xf numFmtId="0" fontId="14" fillId="4" borderId="22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165" fontId="14" fillId="2" borderId="22" xfId="0" applyNumberFormat="1" applyFont="1" applyFill="1" applyBorder="1" applyAlignment="1">
      <alignment horizontal="left" vertical="center" wrapText="1"/>
    </xf>
    <xf numFmtId="10" fontId="14" fillId="8" borderId="22" xfId="0" applyNumberFormat="1" applyFont="1" applyFill="1" applyBorder="1" applyAlignment="1">
      <alignment horizontal="center" vertical="center" wrapText="1"/>
    </xf>
    <xf numFmtId="3" fontId="14" fillId="2" borderId="22" xfId="0" applyNumberFormat="1" applyFont="1" applyFill="1" applyBorder="1" applyAlignment="1">
      <alignment horizontal="center" vertical="center"/>
    </xf>
    <xf numFmtId="10" fontId="14" fillId="8" borderId="22" xfId="0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 wrapText="1"/>
    </xf>
    <xf numFmtId="169" fontId="14" fillId="2" borderId="22" xfId="0" applyNumberFormat="1" applyFont="1" applyFill="1" applyBorder="1" applyAlignment="1">
      <alignment horizontal="center" vertical="center" wrapText="1"/>
    </xf>
    <xf numFmtId="0" fontId="1" fillId="4" borderId="22" xfId="0" applyFont="1" applyFill="1" applyBorder="1"/>
    <xf numFmtId="10" fontId="14" fillId="2" borderId="22" xfId="0" applyNumberFormat="1" applyFont="1" applyFill="1" applyBorder="1" applyAlignment="1">
      <alignment horizontal="center" vertical="center" wrapText="1"/>
    </xf>
    <xf numFmtId="9" fontId="1" fillId="9" borderId="22" xfId="0" applyNumberFormat="1" applyFont="1" applyFill="1" applyBorder="1" applyAlignment="1">
      <alignment horizontal="center" vertical="center"/>
    </xf>
    <xf numFmtId="10" fontId="1" fillId="2" borderId="22" xfId="0" applyNumberFormat="1" applyFont="1" applyFill="1" applyBorder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 wrapText="1"/>
    </xf>
    <xf numFmtId="165" fontId="1" fillId="10" borderId="22" xfId="0" applyNumberFormat="1" applyFont="1" applyFill="1" applyBorder="1"/>
    <xf numFmtId="14" fontId="1" fillId="11" borderId="22" xfId="0" applyNumberFormat="1" applyFont="1" applyFill="1" applyBorder="1"/>
    <xf numFmtId="17" fontId="1" fillId="11" borderId="22" xfId="0" quotePrefix="1" applyNumberFormat="1" applyFont="1" applyFill="1" applyBorder="1"/>
    <xf numFmtId="165" fontId="1" fillId="10" borderId="26" xfId="0" applyNumberFormat="1" applyFont="1" applyFill="1" applyBorder="1"/>
    <xf numFmtId="14" fontId="1" fillId="11" borderId="26" xfId="0" applyNumberFormat="1" applyFont="1" applyFill="1" applyBorder="1"/>
    <xf numFmtId="17" fontId="1" fillId="11" borderId="26" xfId="0" quotePrefix="1" applyNumberFormat="1" applyFont="1" applyFill="1" applyBorder="1"/>
    <xf numFmtId="170" fontId="1" fillId="2" borderId="4" xfId="0" applyNumberFormat="1" applyFont="1" applyFill="1" applyBorder="1"/>
    <xf numFmtId="164" fontId="16" fillId="14" borderId="30" xfId="0" applyNumberFormat="1" applyFont="1" applyFill="1" applyBorder="1" applyAlignment="1">
      <alignment horizontal="left" vertical="top" wrapText="1"/>
    </xf>
    <xf numFmtId="165" fontId="15" fillId="13" borderId="31" xfId="0" applyNumberFormat="1" applyFont="1" applyFill="1" applyBorder="1" applyAlignment="1">
      <alignment horizontal="center" vertical="top" wrapText="1"/>
    </xf>
    <xf numFmtId="0" fontId="1" fillId="15" borderId="22" xfId="0" applyFont="1" applyFill="1" applyBorder="1" applyAlignment="1">
      <alignment horizontal="center" vertical="center" wrapText="1"/>
    </xf>
    <xf numFmtId="0" fontId="1" fillId="15" borderId="25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left" vertical="top"/>
    </xf>
    <xf numFmtId="170" fontId="15" fillId="12" borderId="22" xfId="0" applyNumberFormat="1" applyFont="1" applyFill="1" applyBorder="1" applyAlignment="1">
      <alignment horizontal="left" vertical="top"/>
    </xf>
    <xf numFmtId="0" fontId="15" fillId="12" borderId="32" xfId="0" applyFont="1" applyFill="1" applyBorder="1" applyAlignment="1">
      <alignment horizontal="left" vertical="top"/>
    </xf>
    <xf numFmtId="0" fontId="15" fillId="13" borderId="33" xfId="0" applyFont="1" applyFill="1" applyBorder="1" applyAlignment="1">
      <alignment horizontal="left" vertical="top"/>
    </xf>
    <xf numFmtId="0" fontId="15" fillId="13" borderId="22" xfId="0" applyFont="1" applyFill="1" applyBorder="1" applyAlignment="1">
      <alignment horizontal="left" vertical="top"/>
    </xf>
    <xf numFmtId="0" fontId="15" fillId="13" borderId="32" xfId="0" applyFont="1" applyFill="1" applyBorder="1" applyAlignment="1">
      <alignment horizontal="left" vertical="top"/>
    </xf>
    <xf numFmtId="0" fontId="16" fillId="14" borderId="34" xfId="0" applyFont="1" applyFill="1" applyBorder="1" applyAlignment="1">
      <alignment horizontal="left" vertical="top"/>
    </xf>
    <xf numFmtId="0" fontId="1" fillId="16" borderId="4" xfId="0" applyFont="1" applyFill="1" applyBorder="1"/>
    <xf numFmtId="171" fontId="1" fillId="2" borderId="4" xfId="0" applyNumberFormat="1" applyFont="1" applyFill="1" applyBorder="1"/>
    <xf numFmtId="0" fontId="1" fillId="17" borderId="22" xfId="0" applyFont="1" applyFill="1" applyBorder="1" applyAlignment="1">
      <alignment horizontal="center"/>
    </xf>
    <xf numFmtId="0" fontId="1" fillId="17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right" vertical="center"/>
    </xf>
    <xf numFmtId="165" fontId="1" fillId="2" borderId="22" xfId="0" applyNumberFormat="1" applyFont="1" applyFill="1" applyBorder="1" applyAlignment="1">
      <alignment horizontal="center" vertical="center"/>
    </xf>
    <xf numFmtId="14" fontId="1" fillId="11" borderId="23" xfId="0" quotePrefix="1" applyNumberFormat="1" applyFont="1" applyFill="1" applyBorder="1" applyAlignment="1">
      <alignment horizontal="left" vertical="center"/>
    </xf>
    <xf numFmtId="14" fontId="1" fillId="5" borderId="24" xfId="0" applyNumberFormat="1" applyFont="1" applyFill="1" applyBorder="1" applyAlignment="1">
      <alignment horizontal="left" vertical="center"/>
    </xf>
    <xf numFmtId="165" fontId="1" fillId="10" borderId="33" xfId="0" applyNumberFormat="1" applyFont="1" applyFill="1" applyBorder="1" applyAlignment="1">
      <alignment horizontal="center" vertical="center"/>
    </xf>
    <xf numFmtId="170" fontId="1" fillId="10" borderId="22" xfId="0" applyNumberFormat="1" applyFont="1" applyFill="1" applyBorder="1" applyAlignment="1">
      <alignment horizontal="center" vertical="center"/>
    </xf>
    <xf numFmtId="165" fontId="1" fillId="16" borderId="32" xfId="0" applyNumberFormat="1" applyFont="1" applyFill="1" applyBorder="1" applyAlignment="1">
      <alignment horizontal="center" vertical="center"/>
    </xf>
    <xf numFmtId="166" fontId="1" fillId="17" borderId="22" xfId="0" applyNumberFormat="1" applyFont="1" applyFill="1" applyBorder="1" applyAlignment="1">
      <alignment horizontal="center" vertical="center"/>
    </xf>
    <xf numFmtId="165" fontId="1" fillId="10" borderId="34" xfId="0" applyNumberFormat="1" applyFont="1" applyFill="1" applyBorder="1" applyAlignment="1">
      <alignment horizontal="center" vertical="center"/>
    </xf>
    <xf numFmtId="9" fontId="1" fillId="10" borderId="34" xfId="0" applyNumberFormat="1" applyFont="1" applyFill="1" applyBorder="1" applyAlignment="1">
      <alignment horizontal="center" vertical="center"/>
    </xf>
    <xf numFmtId="171" fontId="1" fillId="10" borderId="34" xfId="0" applyNumberFormat="1" applyFont="1" applyFill="1" applyBorder="1" applyAlignment="1">
      <alignment horizontal="center" vertical="center"/>
    </xf>
    <xf numFmtId="172" fontId="1" fillId="16" borderId="34" xfId="0" applyNumberFormat="1" applyFont="1" applyFill="1" applyBorder="1" applyAlignment="1">
      <alignment horizontal="center" vertical="center"/>
    </xf>
    <xf numFmtId="165" fontId="1" fillId="16" borderId="35" xfId="0" applyNumberFormat="1" applyFont="1" applyFill="1" applyBorder="1" applyAlignment="1">
      <alignment horizontal="center" vertical="center"/>
    </xf>
    <xf numFmtId="14" fontId="1" fillId="11" borderId="24" xfId="0" applyNumberFormat="1" applyFont="1" applyFill="1" applyBorder="1" applyAlignment="1">
      <alignment horizontal="left" vertical="center"/>
    </xf>
    <xf numFmtId="14" fontId="1" fillId="11" borderId="2" xfId="0" applyNumberFormat="1" applyFont="1" applyFill="1" applyBorder="1" applyAlignment="1">
      <alignment horizontal="left" vertical="center"/>
    </xf>
    <xf numFmtId="165" fontId="1" fillId="10" borderId="36" xfId="0" applyNumberFormat="1" applyFont="1" applyFill="1" applyBorder="1" applyAlignment="1">
      <alignment horizontal="center" vertical="center"/>
    </xf>
    <xf numFmtId="165" fontId="1" fillId="16" borderId="37" xfId="0" applyNumberFormat="1" applyFont="1" applyFill="1" applyBorder="1" applyAlignment="1">
      <alignment horizontal="center" vertical="center"/>
    </xf>
    <xf numFmtId="165" fontId="1" fillId="10" borderId="38" xfId="0" applyNumberFormat="1" applyFont="1" applyFill="1" applyBorder="1" applyAlignment="1">
      <alignment horizontal="center" vertical="center"/>
    </xf>
    <xf numFmtId="165" fontId="1" fillId="16" borderId="39" xfId="0" applyNumberFormat="1" applyFont="1" applyFill="1" applyBorder="1" applyAlignment="1">
      <alignment horizontal="center" vertical="center"/>
    </xf>
    <xf numFmtId="165" fontId="1" fillId="10" borderId="40" xfId="0" applyNumberFormat="1" applyFont="1" applyFill="1" applyBorder="1" applyAlignment="1">
      <alignment horizontal="center" vertical="center"/>
    </xf>
    <xf numFmtId="165" fontId="1" fillId="16" borderId="41" xfId="0" applyNumberFormat="1" applyFont="1" applyFill="1" applyBorder="1" applyAlignment="1">
      <alignment horizontal="center" vertical="center"/>
    </xf>
    <xf numFmtId="170" fontId="1" fillId="10" borderId="42" xfId="0" applyNumberFormat="1" applyFont="1" applyFill="1" applyBorder="1" applyAlignment="1">
      <alignment horizontal="center" vertical="center"/>
    </xf>
    <xf numFmtId="165" fontId="1" fillId="17" borderId="42" xfId="0" applyNumberFormat="1" applyFont="1" applyFill="1" applyBorder="1" applyAlignment="1">
      <alignment horizontal="center" vertical="center"/>
    </xf>
    <xf numFmtId="14" fontId="1" fillId="11" borderId="2" xfId="0" quotePrefix="1" applyNumberFormat="1" applyFont="1" applyFill="1" applyBorder="1" applyAlignment="1">
      <alignment horizontal="left" vertical="center"/>
    </xf>
    <xf numFmtId="14" fontId="1" fillId="11" borderId="23" xfId="0" applyNumberFormat="1" applyFont="1" applyFill="1" applyBorder="1" applyAlignment="1">
      <alignment horizontal="left" vertical="center"/>
    </xf>
    <xf numFmtId="165" fontId="1" fillId="17" borderId="22" xfId="0" applyNumberFormat="1" applyFont="1" applyFill="1" applyBorder="1" applyAlignment="1">
      <alignment horizontal="center" vertical="center"/>
    </xf>
    <xf numFmtId="171" fontId="1" fillId="10" borderId="40" xfId="0" applyNumberFormat="1" applyFont="1" applyFill="1" applyBorder="1" applyAlignment="1">
      <alignment horizontal="center" vertical="center"/>
    </xf>
    <xf numFmtId="0" fontId="1" fillId="17" borderId="4" xfId="0" applyFont="1" applyFill="1" applyBorder="1"/>
    <xf numFmtId="0" fontId="1" fillId="5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/>
    </xf>
    <xf numFmtId="14" fontId="1" fillId="2" borderId="22" xfId="0" quotePrefix="1" applyNumberFormat="1" applyFont="1" applyFill="1" applyBorder="1" applyAlignment="1">
      <alignment horizontal="center" vertical="center"/>
    </xf>
    <xf numFmtId="165" fontId="1" fillId="2" borderId="22" xfId="0" applyNumberFormat="1" applyFont="1" applyFill="1" applyBorder="1" applyAlignment="1">
      <alignment horizontal="left" vertical="center"/>
    </xf>
    <xf numFmtId="0" fontId="1" fillId="2" borderId="22" xfId="0" applyFont="1" applyFill="1" applyBorder="1" applyAlignment="1">
      <alignment wrapText="1"/>
    </xf>
    <xf numFmtId="166" fontId="1" fillId="2" borderId="22" xfId="0" applyNumberFormat="1" applyFont="1" applyFill="1" applyBorder="1" applyAlignment="1">
      <alignment wrapText="1"/>
    </xf>
    <xf numFmtId="165" fontId="1" fillId="2" borderId="22" xfId="0" applyNumberFormat="1" applyFont="1" applyFill="1" applyBorder="1" applyAlignment="1">
      <alignment wrapText="1"/>
    </xf>
    <xf numFmtId="165" fontId="1" fillId="2" borderId="4" xfId="0" applyNumberFormat="1" applyFont="1" applyFill="1" applyBorder="1" applyAlignment="1">
      <alignment wrapText="1"/>
    </xf>
    <xf numFmtId="9" fontId="1" fillId="2" borderId="4" xfId="0" applyNumberFormat="1" applyFont="1" applyFill="1" applyBorder="1"/>
    <xf numFmtId="0" fontId="1" fillId="18" borderId="22" xfId="0" applyFont="1" applyFill="1" applyBorder="1" applyAlignment="1">
      <alignment horizontal="left" vertical="center"/>
    </xf>
    <xf numFmtId="165" fontId="1" fillId="9" borderId="4" xfId="0" applyNumberFormat="1" applyFont="1" applyFill="1" applyBorder="1" applyAlignment="1">
      <alignment wrapText="1"/>
    </xf>
    <xf numFmtId="0" fontId="1" fillId="5" borderId="22" xfId="0" applyFont="1" applyFill="1" applyBorder="1" applyAlignment="1">
      <alignment horizontal="left" vertical="center"/>
    </xf>
    <xf numFmtId="166" fontId="1" fillId="2" borderId="22" xfId="0" applyNumberFormat="1" applyFont="1" applyFill="1" applyBorder="1" applyAlignment="1">
      <alignment horizontal="center" vertical="center"/>
    </xf>
    <xf numFmtId="171" fontId="1" fillId="9" borderId="22" xfId="0" applyNumberFormat="1" applyFont="1" applyFill="1" applyBorder="1" applyAlignment="1">
      <alignment horizontal="center" vertical="center"/>
    </xf>
    <xf numFmtId="173" fontId="1" fillId="2" borderId="22" xfId="0" applyNumberFormat="1" applyFont="1" applyFill="1" applyBorder="1" applyAlignment="1">
      <alignment wrapText="1"/>
    </xf>
    <xf numFmtId="174" fontId="1" fillId="2" borderId="22" xfId="0" applyNumberFormat="1" applyFont="1" applyFill="1" applyBorder="1" applyAlignment="1">
      <alignment wrapText="1"/>
    </xf>
    <xf numFmtId="14" fontId="1" fillId="2" borderId="4" xfId="0" applyNumberFormat="1" applyFont="1" applyFill="1" applyBorder="1" applyAlignment="1">
      <alignment wrapText="1"/>
    </xf>
    <xf numFmtId="170" fontId="1" fillId="2" borderId="22" xfId="0" applyNumberFormat="1" applyFont="1" applyFill="1" applyBorder="1" applyAlignment="1">
      <alignment wrapText="1"/>
    </xf>
    <xf numFmtId="173" fontId="1" fillId="2" borderId="22" xfId="0" applyNumberFormat="1" applyFont="1" applyFill="1" applyBorder="1" applyAlignment="1">
      <alignment horizontal="left" vertical="center"/>
    </xf>
    <xf numFmtId="165" fontId="1" fillId="9" borderId="22" xfId="0" applyNumberFormat="1" applyFont="1" applyFill="1" applyBorder="1" applyAlignment="1">
      <alignment horizontal="center" vertical="center"/>
    </xf>
    <xf numFmtId="14" fontId="1" fillId="2" borderId="22" xfId="0" applyNumberFormat="1" applyFont="1" applyFill="1" applyBorder="1" applyAlignment="1">
      <alignment wrapText="1"/>
    </xf>
    <xf numFmtId="165" fontId="4" fillId="2" borderId="4" xfId="0" applyNumberFormat="1" applyFont="1" applyFill="1" applyBorder="1"/>
    <xf numFmtId="0" fontId="1" fillId="2" borderId="43" xfId="0" applyFont="1" applyFill="1" applyBorder="1"/>
    <xf numFmtId="4" fontId="1" fillId="2" borderId="4" xfId="0" applyNumberFormat="1" applyFont="1" applyFill="1" applyBorder="1"/>
    <xf numFmtId="0" fontId="17" fillId="2" borderId="15" xfId="0" applyFont="1" applyFill="1" applyBorder="1"/>
    <xf numFmtId="0" fontId="17" fillId="2" borderId="26" xfId="0" applyFont="1" applyFill="1" applyBorder="1"/>
    <xf numFmtId="0" fontId="17" fillId="2" borderId="13" xfId="0" applyFont="1" applyFill="1" applyBorder="1"/>
    <xf numFmtId="0" fontId="18" fillId="2" borderId="22" xfId="0" applyFont="1" applyFill="1" applyBorder="1"/>
    <xf numFmtId="0" fontId="18" fillId="2" borderId="4" xfId="0" applyFont="1" applyFill="1" applyBorder="1"/>
    <xf numFmtId="2" fontId="1" fillId="2" borderId="22" xfId="0" applyNumberFormat="1" applyFont="1" applyFill="1" applyBorder="1"/>
    <xf numFmtId="14" fontId="1" fillId="2" borderId="22" xfId="0" applyNumberFormat="1" applyFont="1" applyFill="1" applyBorder="1"/>
    <xf numFmtId="164" fontId="1" fillId="2" borderId="22" xfId="0" applyNumberFormat="1" applyFont="1" applyFill="1" applyBorder="1"/>
    <xf numFmtId="168" fontId="1" fillId="2" borderId="9" xfId="0" applyNumberFormat="1" applyFont="1" applyFill="1" applyBorder="1" applyAlignment="1">
      <alignment horizontal="center"/>
    </xf>
    <xf numFmtId="0" fontId="3" fillId="16" borderId="14" xfId="0" applyFont="1" applyFill="1" applyBorder="1" applyAlignment="1">
      <alignment horizontal="center" vertical="center" wrapText="1"/>
    </xf>
    <xf numFmtId="2" fontId="4" fillId="2" borderId="5" xfId="0" applyNumberFormat="1" applyFont="1" applyFill="1" applyBorder="1"/>
    <xf numFmtId="0" fontId="21" fillId="16" borderId="22" xfId="0" applyFont="1" applyFill="1" applyBorder="1" applyAlignment="1">
      <alignment horizontal="center" vertical="center"/>
    </xf>
    <xf numFmtId="165" fontId="1" fillId="0" borderId="22" xfId="0" applyNumberFormat="1" applyFont="1" applyBorder="1"/>
    <xf numFmtId="172" fontId="1" fillId="0" borderId="22" xfId="0" applyNumberFormat="1" applyFont="1" applyBorder="1" applyAlignment="1">
      <alignment horizontal="left" vertical="top"/>
    </xf>
    <xf numFmtId="164" fontId="1" fillId="0" borderId="22" xfId="0" applyNumberFormat="1" applyFont="1" applyBorder="1"/>
    <xf numFmtId="175" fontId="1" fillId="2" borderId="22" xfId="0" applyNumberFormat="1" applyFont="1" applyFill="1" applyBorder="1"/>
    <xf numFmtId="9" fontId="1" fillId="2" borderId="22" xfId="0" applyNumberFormat="1" applyFont="1" applyFill="1" applyBorder="1" applyAlignment="1">
      <alignment horizontal="center"/>
    </xf>
    <xf numFmtId="164" fontId="1" fillId="2" borderId="2" xfId="0" applyNumberFormat="1" applyFont="1" applyFill="1" applyBorder="1"/>
    <xf numFmtId="164" fontId="1" fillId="2" borderId="1" xfId="0" applyNumberFormat="1" applyFont="1" applyFill="1" applyBorder="1"/>
    <xf numFmtId="9" fontId="1" fillId="2" borderId="3" xfId="0" applyNumberFormat="1" applyFont="1" applyFill="1" applyBorder="1"/>
    <xf numFmtId="175" fontId="1" fillId="2" borderId="4" xfId="0" applyNumberFormat="1" applyFont="1" applyFill="1" applyBorder="1"/>
    <xf numFmtId="164" fontId="1" fillId="2" borderId="5" xfId="0" applyNumberFormat="1" applyFont="1" applyFill="1" applyBorder="1"/>
    <xf numFmtId="9" fontId="1" fillId="2" borderId="9" xfId="0" applyNumberFormat="1" applyFont="1" applyFill="1" applyBorder="1"/>
    <xf numFmtId="167" fontId="1" fillId="2" borderId="9" xfId="0" applyNumberFormat="1" applyFont="1" applyFill="1" applyBorder="1"/>
    <xf numFmtId="164" fontId="4" fillId="2" borderId="4" xfId="0" applyNumberFormat="1" applyFont="1" applyFill="1" applyBorder="1"/>
    <xf numFmtId="164" fontId="4" fillId="2" borderId="5" xfId="0" applyNumberFormat="1" applyFont="1" applyFill="1" applyBorder="1"/>
    <xf numFmtId="0" fontId="22" fillId="3" borderId="21" xfId="0" applyFont="1" applyFill="1" applyBorder="1" applyAlignment="1">
      <alignment horizontal="center"/>
    </xf>
    <xf numFmtId="0" fontId="22" fillId="3" borderId="22" xfId="0" applyFont="1" applyFill="1" applyBorder="1" applyAlignment="1">
      <alignment horizontal="center"/>
    </xf>
    <xf numFmtId="168" fontId="1" fillId="2" borderId="2" xfId="0" applyNumberFormat="1" applyFont="1" applyFill="1" applyBorder="1" applyAlignment="1">
      <alignment horizontal="center"/>
    </xf>
    <xf numFmtId="0" fontId="3" fillId="16" borderId="2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4" fillId="2" borderId="9" xfId="0" applyFont="1" applyFill="1" applyBorder="1"/>
    <xf numFmtId="167" fontId="4" fillId="2" borderId="9" xfId="0" applyNumberFormat="1" applyFont="1" applyFill="1" applyBorder="1"/>
    <xf numFmtId="0" fontId="24" fillId="16" borderId="22" xfId="0" applyFont="1" applyFill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4" fillId="2" borderId="13" xfId="0" applyFont="1" applyFill="1" applyBorder="1"/>
    <xf numFmtId="164" fontId="4" fillId="2" borderId="14" xfId="0" applyNumberFormat="1" applyFont="1" applyFill="1" applyBorder="1"/>
    <xf numFmtId="164" fontId="4" fillId="2" borderId="13" xfId="0" applyNumberFormat="1" applyFont="1" applyFill="1" applyBorder="1"/>
    <xf numFmtId="0" fontId="4" fillId="2" borderId="15" xfId="0" applyFont="1" applyFill="1" applyBorder="1"/>
    <xf numFmtId="164" fontId="4" fillId="2" borderId="15" xfId="0" applyNumberFormat="1" applyFont="1" applyFill="1" applyBorder="1"/>
    <xf numFmtId="176" fontId="26" fillId="0" borderId="22" xfId="0" applyNumberFormat="1" applyFont="1" applyBorder="1" applyAlignment="1">
      <alignment vertical="center"/>
    </xf>
    <xf numFmtId="171" fontId="1" fillId="2" borderId="22" xfId="0" applyNumberFormat="1" applyFont="1" applyFill="1" applyBorder="1" applyAlignment="1">
      <alignment horizontal="center"/>
    </xf>
    <xf numFmtId="170" fontId="1" fillId="0" borderId="22" xfId="0" applyNumberFormat="1" applyFont="1" applyBorder="1"/>
    <xf numFmtId="0" fontId="27" fillId="2" borderId="1" xfId="0" applyFont="1" applyFill="1" applyBorder="1"/>
    <xf numFmtId="0" fontId="4" fillId="16" borderId="22" xfId="0" applyFont="1" applyFill="1" applyBorder="1"/>
    <xf numFmtId="14" fontId="4" fillId="2" borderId="22" xfId="0" applyNumberFormat="1" applyFont="1" applyFill="1" applyBorder="1"/>
    <xf numFmtId="177" fontId="1" fillId="2" borderId="4" xfId="0" applyNumberFormat="1" applyFont="1" applyFill="1" applyBorder="1"/>
    <xf numFmtId="0" fontId="28" fillId="2" borderId="5" xfId="0" applyFont="1" applyFill="1" applyBorder="1"/>
    <xf numFmtId="0" fontId="28" fillId="2" borderId="4" xfId="0" applyFont="1" applyFill="1" applyBorder="1"/>
    <xf numFmtId="0" fontId="28" fillId="2" borderId="9" xfId="0" applyFont="1" applyFill="1" applyBorder="1"/>
    <xf numFmtId="0" fontId="1" fillId="2" borderId="59" xfId="0" applyFont="1" applyFill="1" applyBorder="1"/>
    <xf numFmtId="0" fontId="1" fillId="2" borderId="21" xfId="0" applyFont="1" applyFill="1" applyBorder="1"/>
    <xf numFmtId="2" fontId="1" fillId="2" borderId="21" xfId="0" applyNumberFormat="1" applyFont="1" applyFill="1" applyBorder="1"/>
    <xf numFmtId="0" fontId="29" fillId="0" borderId="0" xfId="0" applyFont="1"/>
    <xf numFmtId="0" fontId="30" fillId="2" borderId="4" xfId="0" applyFont="1" applyFill="1" applyBorder="1" applyAlignment="1">
      <alignment vertical="top" wrapText="1"/>
    </xf>
    <xf numFmtId="0" fontId="31" fillId="2" borderId="4" xfId="0" applyFont="1" applyFill="1" applyBorder="1" applyAlignment="1">
      <alignment vertical="top"/>
    </xf>
    <xf numFmtId="0" fontId="30" fillId="2" borderId="4" xfId="0" applyFont="1" applyFill="1" applyBorder="1" applyAlignment="1">
      <alignment vertical="top"/>
    </xf>
    <xf numFmtId="0" fontId="16" fillId="19" borderId="4" xfId="0" applyFont="1" applyFill="1" applyBorder="1" applyAlignment="1">
      <alignment horizontal="center" vertical="top" wrapText="1"/>
    </xf>
    <xf numFmtId="0" fontId="32" fillId="20" borderId="22" xfId="0" applyFont="1" applyFill="1" applyBorder="1" applyAlignment="1">
      <alignment horizontal="center" vertical="top" wrapText="1"/>
    </xf>
    <xf numFmtId="0" fontId="30" fillId="2" borderId="22" xfId="0" applyFont="1" applyFill="1" applyBorder="1" applyAlignment="1">
      <alignment vertical="top" wrapText="1"/>
    </xf>
    <xf numFmtId="9" fontId="30" fillId="2" borderId="4" xfId="0" applyNumberFormat="1" applyFont="1" applyFill="1" applyBorder="1" applyAlignment="1">
      <alignment vertical="top" wrapText="1"/>
    </xf>
    <xf numFmtId="0" fontId="30" fillId="2" borderId="4" xfId="0" quotePrefix="1" applyFont="1" applyFill="1" applyBorder="1" applyAlignment="1">
      <alignment vertical="top" wrapText="1"/>
    </xf>
    <xf numFmtId="17" fontId="30" fillId="2" borderId="22" xfId="0" applyNumberFormat="1" applyFont="1" applyFill="1" applyBorder="1" applyAlignment="1">
      <alignment vertical="top" wrapText="1"/>
    </xf>
    <xf numFmtId="49" fontId="30" fillId="2" borderId="4" xfId="0" applyNumberFormat="1" applyFont="1" applyFill="1" applyBorder="1" applyAlignment="1">
      <alignment vertical="top" wrapText="1"/>
    </xf>
    <xf numFmtId="0" fontId="33" fillId="9" borderId="22" xfId="0" applyFont="1" applyFill="1" applyBorder="1" applyAlignment="1">
      <alignment horizontal="center" vertical="top" wrapText="1"/>
    </xf>
    <xf numFmtId="0" fontId="33" fillId="21" borderId="22" xfId="0" applyFont="1" applyFill="1" applyBorder="1" applyAlignment="1">
      <alignment horizontal="center" vertical="top" wrapText="1"/>
    </xf>
    <xf numFmtId="0" fontId="33" fillId="22" borderId="22" xfId="0" applyFont="1" applyFill="1" applyBorder="1" applyAlignment="1">
      <alignment horizontal="center" vertical="top" wrapText="1"/>
    </xf>
    <xf numFmtId="0" fontId="1" fillId="11" borderId="22" xfId="0" applyFont="1" applyFill="1" applyBorder="1"/>
    <xf numFmtId="0" fontId="1" fillId="13" borderId="22" xfId="0" applyFont="1" applyFill="1" applyBorder="1"/>
    <xf numFmtId="0" fontId="1" fillId="13" borderId="22" xfId="0" quotePrefix="1" applyFont="1" applyFill="1" applyBorder="1"/>
    <xf numFmtId="0" fontId="1" fillId="0" borderId="0" xfId="0" applyFont="1" applyAlignment="1">
      <alignment wrapText="1"/>
    </xf>
    <xf numFmtId="0" fontId="1" fillId="11" borderId="59" xfId="0" applyFont="1" applyFill="1" applyBorder="1"/>
    <xf numFmtId="0" fontId="1" fillId="11" borderId="5" xfId="0" applyFont="1" applyFill="1" applyBorder="1"/>
    <xf numFmtId="2" fontId="1" fillId="11" borderId="22" xfId="0" applyNumberFormat="1" applyFont="1" applyFill="1" applyBorder="1"/>
    <xf numFmtId="14" fontId="1" fillId="13" borderId="22" xfId="0" applyNumberFormat="1" applyFont="1" applyFill="1" applyBorder="1"/>
    <xf numFmtId="165" fontId="1" fillId="11" borderId="22" xfId="0" applyNumberFormat="1" applyFont="1" applyFill="1" applyBorder="1"/>
    <xf numFmtId="171" fontId="1" fillId="2" borderId="22" xfId="0" applyNumberFormat="1" applyFont="1" applyFill="1" applyBorder="1" applyAlignment="1">
      <alignment horizontal="center" vertical="center"/>
    </xf>
    <xf numFmtId="2" fontId="4" fillId="11" borderId="22" xfId="0" applyNumberFormat="1" applyFont="1" applyFill="1" applyBorder="1"/>
    <xf numFmtId="0" fontId="1" fillId="13" borderId="59" xfId="0" applyFont="1" applyFill="1" applyBorder="1"/>
    <xf numFmtId="0" fontId="4" fillId="17" borderId="22" xfId="0" applyFont="1" applyFill="1" applyBorder="1"/>
    <xf numFmtId="0" fontId="1" fillId="2" borderId="22" xfId="0" applyFont="1" applyFill="1" applyBorder="1" applyAlignment="1">
      <alignment vertical="top" wrapText="1"/>
    </xf>
    <xf numFmtId="0" fontId="1" fillId="2" borderId="58" xfId="0" applyFont="1" applyFill="1" applyBorder="1"/>
    <xf numFmtId="0" fontId="14" fillId="2" borderId="58" xfId="0" applyFont="1" applyFill="1" applyBorder="1" applyAlignment="1">
      <alignment horizontal="center" vertical="center"/>
    </xf>
    <xf numFmtId="14" fontId="1" fillId="2" borderId="58" xfId="0" applyNumberFormat="1" applyFont="1" applyFill="1" applyBorder="1"/>
    <xf numFmtId="17" fontId="1" fillId="2" borderId="58" xfId="0" applyNumberFormat="1" applyFont="1" applyFill="1" applyBorder="1"/>
    <xf numFmtId="165" fontId="1" fillId="2" borderId="58" xfId="0" applyNumberFormat="1" applyFont="1" applyFill="1" applyBorder="1"/>
    <xf numFmtId="43" fontId="1" fillId="2" borderId="4" xfId="0" applyNumberFormat="1" applyFont="1" applyFill="1" applyBorder="1"/>
    <xf numFmtId="166" fontId="26" fillId="0" borderId="22" xfId="0" applyNumberFormat="1" applyFont="1" applyBorder="1" applyAlignment="1">
      <alignment vertical="center"/>
    </xf>
    <xf numFmtId="178" fontId="1" fillId="16" borderId="41" xfId="0" applyNumberFormat="1" applyFont="1" applyFill="1" applyBorder="1" applyAlignment="1">
      <alignment horizontal="center" vertical="center"/>
    </xf>
    <xf numFmtId="166" fontId="1" fillId="16" borderId="35" xfId="0" applyNumberFormat="1" applyFont="1" applyFill="1" applyBorder="1" applyAlignment="1">
      <alignment horizontal="center" vertical="center"/>
    </xf>
    <xf numFmtId="179" fontId="1" fillId="10" borderId="22" xfId="0" applyNumberFormat="1" applyFont="1" applyFill="1" applyBorder="1" applyAlignment="1">
      <alignment horizontal="center" vertical="center"/>
    </xf>
    <xf numFmtId="180" fontId="1" fillId="16" borderId="41" xfId="0" applyNumberFormat="1" applyFont="1" applyFill="1" applyBorder="1" applyAlignment="1">
      <alignment horizontal="center" vertical="center"/>
    </xf>
    <xf numFmtId="181" fontId="1" fillId="2" borderId="4" xfId="0" applyNumberFormat="1" applyFont="1" applyFill="1" applyBorder="1"/>
    <xf numFmtId="0" fontId="1" fillId="23" borderId="22" xfId="0" applyFont="1" applyFill="1" applyBorder="1" applyAlignment="1">
      <alignment horizontal="left" vertical="center"/>
    </xf>
    <xf numFmtId="0" fontId="9" fillId="2" borderId="58" xfId="0" applyFont="1" applyFill="1" applyBorder="1"/>
    <xf numFmtId="0" fontId="1" fillId="2" borderId="45" xfId="0" applyFont="1" applyFill="1" applyBorder="1"/>
    <xf numFmtId="0" fontId="4" fillId="2" borderId="58" xfId="0" applyFont="1" applyFill="1" applyBorder="1"/>
    <xf numFmtId="0" fontId="7" fillId="2" borderId="58" xfId="0" applyFont="1" applyFill="1" applyBorder="1"/>
    <xf numFmtId="0" fontId="4" fillId="2" borderId="60" xfId="0" applyFont="1" applyFill="1" applyBorder="1"/>
    <xf numFmtId="14" fontId="1" fillId="24" borderId="2" xfId="0" applyNumberFormat="1" applyFont="1" applyFill="1" applyBorder="1" applyAlignment="1">
      <alignment horizontal="left" vertical="center"/>
    </xf>
    <xf numFmtId="14" fontId="1" fillId="11" borderId="22" xfId="0" applyNumberFormat="1" applyFont="1" applyFill="1" applyBorder="1" applyAlignment="1">
      <alignment horizontal="right" vertical="top"/>
    </xf>
    <xf numFmtId="17" fontId="30" fillId="2" borderId="4" xfId="0" quotePrefix="1" applyNumberFormat="1" applyFont="1" applyFill="1" applyBorder="1" applyAlignment="1">
      <alignment vertical="top" wrapText="1"/>
    </xf>
    <xf numFmtId="0" fontId="1" fillId="2" borderId="48" xfId="0" applyFont="1" applyFill="1" applyBorder="1"/>
    <xf numFmtId="14" fontId="1" fillId="2" borderId="21" xfId="0" applyNumberFormat="1" applyFont="1" applyFill="1" applyBorder="1"/>
    <xf numFmtId="164" fontId="1" fillId="2" borderId="21" xfId="0" applyNumberFormat="1" applyFont="1" applyFill="1" applyBorder="1"/>
    <xf numFmtId="0" fontId="1" fillId="2" borderId="47" xfId="0" applyFont="1" applyFill="1" applyBorder="1"/>
    <xf numFmtId="0" fontId="1" fillId="23" borderId="4" xfId="0" applyFont="1" applyFill="1" applyBorder="1"/>
    <xf numFmtId="0" fontId="1" fillId="23" borderId="22" xfId="0" applyFont="1" applyFill="1" applyBorder="1" applyAlignment="1">
      <alignment horizontal="right" vertical="center"/>
    </xf>
    <xf numFmtId="0" fontId="1" fillId="23" borderId="22" xfId="0" applyFont="1" applyFill="1" applyBorder="1" applyAlignment="1">
      <alignment horizontal="center" vertical="center"/>
    </xf>
    <xf numFmtId="14" fontId="0" fillId="0" borderId="0" xfId="0" applyNumberFormat="1"/>
    <xf numFmtId="0" fontId="1" fillId="25" borderId="22" xfId="0" applyFont="1" applyFill="1" applyBorder="1" applyAlignment="1">
      <alignment horizontal="left" vertical="center"/>
    </xf>
    <xf numFmtId="43" fontId="1" fillId="2" borderId="4" xfId="1" applyFont="1" applyFill="1" applyBorder="1"/>
    <xf numFmtId="0" fontId="1" fillId="26" borderId="22" xfId="0" applyFont="1" applyFill="1" applyBorder="1" applyAlignment="1">
      <alignment horizontal="left" vertical="center"/>
    </xf>
    <xf numFmtId="0" fontId="1" fillId="27" borderId="22" xfId="0" applyFont="1" applyFill="1" applyBorder="1" applyAlignment="1">
      <alignment horizontal="left" vertical="center"/>
    </xf>
    <xf numFmtId="165" fontId="15" fillId="13" borderId="35" xfId="0" applyNumberFormat="1" applyFont="1" applyFill="1" applyBorder="1" applyAlignment="1">
      <alignment horizontal="left" vertical="top" wrapText="1"/>
    </xf>
    <xf numFmtId="0" fontId="1" fillId="2" borderId="22" xfId="0" applyFont="1" applyFill="1" applyBorder="1" applyAlignment="1">
      <alignment horizontal="left" vertical="center" wrapText="1"/>
    </xf>
    <xf numFmtId="0" fontId="14" fillId="28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top"/>
    </xf>
    <xf numFmtId="14" fontId="1" fillId="29" borderId="24" xfId="0" applyNumberFormat="1" applyFont="1" applyFill="1" applyBorder="1" applyAlignment="1">
      <alignment horizontal="left" vertical="center"/>
    </xf>
    <xf numFmtId="14" fontId="1" fillId="2" borderId="22" xfId="0" applyNumberFormat="1" applyFont="1" applyFill="1" applyBorder="1" applyAlignment="1">
      <alignment horizontal="center" vertical="center"/>
    </xf>
    <xf numFmtId="0" fontId="1" fillId="25" borderId="22" xfId="0" applyFont="1" applyFill="1" applyBorder="1" applyAlignment="1">
      <alignment horizontal="left" vertical="top"/>
    </xf>
    <xf numFmtId="0" fontId="1" fillId="25" borderId="22" xfId="0" applyFont="1" applyFill="1" applyBorder="1" applyAlignment="1">
      <alignment horizontal="center" vertical="center"/>
    </xf>
    <xf numFmtId="0" fontId="15" fillId="12" borderId="27" xfId="0" applyFont="1" applyFill="1" applyBorder="1" applyAlignment="1">
      <alignment horizontal="center" vertical="top"/>
    </xf>
    <xf numFmtId="0" fontId="2" fillId="0" borderId="28" xfId="0" applyFont="1" applyBorder="1"/>
    <xf numFmtId="0" fontId="2" fillId="0" borderId="29" xfId="0" applyFont="1" applyBorder="1"/>
    <xf numFmtId="165" fontId="15" fillId="13" borderId="27" xfId="0" applyNumberFormat="1" applyFont="1" applyFill="1" applyBorder="1" applyAlignment="1">
      <alignment horizontal="center" vertical="top" wrapText="1"/>
    </xf>
    <xf numFmtId="0" fontId="3" fillId="16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19" fillId="2" borderId="44" xfId="0" applyFont="1" applyFill="1" applyBorder="1" applyAlignment="1">
      <alignment horizontal="center" wrapText="1"/>
    </xf>
    <xf numFmtId="0" fontId="2" fillId="0" borderId="12" xfId="0" applyFont="1" applyBorder="1"/>
    <xf numFmtId="0" fontId="20" fillId="3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2" borderId="10" xfId="0" applyFont="1" applyFill="1" applyBorder="1" applyAlignment="1">
      <alignment horizontal="center" wrapText="1"/>
    </xf>
    <xf numFmtId="0" fontId="2" fillId="0" borderId="11" xfId="0" applyFont="1" applyBorder="1"/>
    <xf numFmtId="0" fontId="22" fillId="3" borderId="16" xfId="0" applyFont="1" applyFill="1" applyBorder="1" applyAlignment="1">
      <alignment horizontal="center" vertical="center"/>
    </xf>
    <xf numFmtId="0" fontId="2" fillId="0" borderId="20" xfId="0" applyFont="1" applyBorder="1"/>
    <xf numFmtId="0" fontId="22" fillId="3" borderId="17" xfId="0" applyFont="1" applyFill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3" fillId="16" borderId="16" xfId="0" applyFont="1" applyFill="1" applyBorder="1" applyAlignment="1">
      <alignment horizontal="center" vertical="center" wrapText="1"/>
    </xf>
    <xf numFmtId="170" fontId="1" fillId="2" borderId="17" xfId="0" applyNumberFormat="1" applyFont="1" applyFill="1" applyBorder="1" applyAlignment="1">
      <alignment horizontal="center"/>
    </xf>
    <xf numFmtId="0" fontId="1" fillId="2" borderId="51" xfId="0" applyFont="1" applyFill="1" applyBorder="1" applyAlignment="1">
      <alignment vertical="top" wrapText="1"/>
    </xf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0" fillId="0" borderId="0" xfId="0"/>
    <xf numFmtId="0" fontId="2" fillId="0" borderId="55" xfId="0" applyFont="1" applyBorder="1"/>
    <xf numFmtId="0" fontId="2" fillId="0" borderId="56" xfId="0" applyFont="1" applyBorder="1"/>
    <xf numFmtId="0" fontId="2" fillId="0" borderId="57" xfId="0" applyFont="1" applyBorder="1"/>
    <xf numFmtId="0" fontId="2" fillId="0" borderId="58" xfId="0" applyFont="1" applyBorder="1"/>
    <xf numFmtId="165" fontId="1" fillId="2" borderId="51" xfId="0" applyNumberFormat="1" applyFont="1" applyFill="1" applyBorder="1" applyAlignment="1">
      <alignment horizontal="left" wrapText="1"/>
    </xf>
    <xf numFmtId="0" fontId="3" fillId="16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Border="1"/>
    <xf numFmtId="0" fontId="3" fillId="16" borderId="17" xfId="0" applyFont="1" applyFill="1" applyBorder="1" applyAlignment="1">
      <alignment horizontal="center" vertical="center" wrapText="1"/>
    </xf>
    <xf numFmtId="165" fontId="1" fillId="2" borderId="17" xfId="0" applyNumberFormat="1" applyFont="1" applyFill="1" applyBorder="1" applyAlignment="1">
      <alignment horizontal="center"/>
    </xf>
    <xf numFmtId="0" fontId="24" fillId="16" borderId="16" xfId="0" applyFont="1" applyFill="1" applyBorder="1" applyAlignment="1">
      <alignment horizontal="center" vertical="center" wrapText="1"/>
    </xf>
    <xf numFmtId="0" fontId="24" fillId="16" borderId="17" xfId="0" applyFont="1" applyFill="1" applyBorder="1" applyAlignment="1">
      <alignment horizontal="center" vertical="center"/>
    </xf>
    <xf numFmtId="0" fontId="4" fillId="16" borderId="17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</cellXfs>
  <cellStyles count="2">
    <cellStyle name="Normal" xfId="0" builtinId="0"/>
    <cellStyle name="Vírgula" xfId="1" builtinId="3"/>
  </cellStyles>
  <dxfs count="3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FFC000"/>
          <bgColor rgb="FFFFC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FFC000"/>
          <bgColor rgb="FFFFC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FFC000"/>
          <bgColor rgb="FFFFC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FFC000"/>
          <bgColor rgb="FFFFC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Faturas-style" pivot="0" count="3">
      <tableStyleElement type="headerRow" dxfId="34"/>
      <tableStyleElement type="firstRowStripe" dxfId="33"/>
      <tableStyleElement type="secondRowStripe" dxfId="32"/>
    </tableStyle>
    <tableStyle name="Faturas (2)-style" pivot="0" count="3"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0</xdr:colOff>
      <xdr:row>22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0</xdr:rowOff>
    </xdr:from>
    <xdr:ext cx="304800" cy="304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66675</xdr:colOff>
      <xdr:row>3</xdr:row>
      <xdr:rowOff>19050</xdr:rowOff>
    </xdr:from>
    <xdr:ext cx="1076325" cy="11811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638175</xdr:colOff>
      <xdr:row>2</xdr:row>
      <xdr:rowOff>114300</xdr:rowOff>
    </xdr:from>
    <xdr:ext cx="647700" cy="7048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123825</xdr:colOff>
      <xdr:row>41</xdr:row>
      <xdr:rowOff>171450</xdr:rowOff>
    </xdr:from>
    <xdr:ext cx="9953625" cy="5410200"/>
    <xdr:pic>
      <xdr:nvPicPr>
        <xdr:cNvPr id="6" name="image3.jpg" title="Imagem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31</xdr:col>
      <xdr:colOff>74083</xdr:colOff>
      <xdr:row>13</xdr:row>
      <xdr:rowOff>74083</xdr:rowOff>
    </xdr:from>
    <xdr:to>
      <xdr:col>32</xdr:col>
      <xdr:colOff>506650</xdr:colOff>
      <xdr:row>23</xdr:row>
      <xdr:rowOff>31750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5666B19-E022-4713-9CA0-FDE7409469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87" t="16381" r="44642" b="60507"/>
        <a:stretch>
          <a:fillRect/>
        </a:stretch>
      </xdr:blipFill>
      <xdr:spPr>
        <a:xfrm>
          <a:off x="27707166" y="2307166"/>
          <a:ext cx="1300401" cy="1809751"/>
        </a:xfrm>
        <a:prstGeom prst="rect">
          <a:avLst/>
        </a:prstGeom>
      </xdr:spPr>
    </xdr:pic>
    <xdr:clientData/>
  </xdr:twoCellAnchor>
  <xdr:twoCellAnchor editAs="oneCell">
    <xdr:from>
      <xdr:col>30</xdr:col>
      <xdr:colOff>275167</xdr:colOff>
      <xdr:row>23</xdr:row>
      <xdr:rowOff>10582</xdr:rowOff>
    </xdr:from>
    <xdr:to>
      <xdr:col>31</xdr:col>
      <xdr:colOff>756148</xdr:colOff>
      <xdr:row>33</xdr:row>
      <xdr:rowOff>51708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8489D57-5F74-47E1-A064-7C95BA6E3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003" t="24401" r="33613" b="53190"/>
        <a:stretch>
          <a:fillRect/>
        </a:stretch>
      </xdr:blipFill>
      <xdr:spPr>
        <a:xfrm>
          <a:off x="26966334" y="4095749"/>
          <a:ext cx="1422897" cy="1840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A4:K54">
  <tableColumns count="11">
    <tableColumn id="1" name="Código"/>
    <tableColumn id="2" name="Coluna1"/>
    <tableColumn id="3" name="Cliente"/>
    <tableColumn id="4" name="Tipo"/>
    <tableColumn id="5" name="Identificação"/>
    <tableColumn id="6" name="Conta Contrato"/>
    <tableColumn id="7" name="Coluna2"/>
    <tableColumn id="8" name="Referência"/>
    <tableColumn id="9" name="Locação"/>
    <tableColumn id="10" name="Vencimento"/>
    <tableColumn id="11" name="Conta Contrato Geração"/>
  </tableColumns>
  <tableStyleInfo name="Fatur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claudemirgeo@icloud.com" TargetMode="External"/><Relationship Id="rId7" Type="http://schemas.openxmlformats.org/officeDocument/2006/relationships/hyperlink" Target="mailto:financeiro@amelsolar.com.br" TargetMode="External"/><Relationship Id="rId2" Type="http://schemas.openxmlformats.org/officeDocument/2006/relationships/hyperlink" Target="mailto:financeiro@amelsolar.com.br" TargetMode="External"/><Relationship Id="rId1" Type="http://schemas.openxmlformats.org/officeDocument/2006/relationships/hyperlink" Target="mailto:financeiro@amelsolar.com.br" TargetMode="External"/><Relationship Id="rId6" Type="http://schemas.openxmlformats.org/officeDocument/2006/relationships/hyperlink" Target="mailto:financeiro@amelsolar.com.br" TargetMode="External"/><Relationship Id="rId5" Type="http://schemas.openxmlformats.org/officeDocument/2006/relationships/hyperlink" Target="mailto:financeiro@amelsolar.com.br" TargetMode="External"/><Relationship Id="rId4" Type="http://schemas.openxmlformats.org/officeDocument/2006/relationships/hyperlink" Target="mailto:financeiro@amelsolar.com.b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5" sqref="B5"/>
    </sheetView>
  </sheetViews>
  <sheetFormatPr defaultColWidth="14.42578125" defaultRowHeight="15" customHeight="1"/>
  <cols>
    <col min="1" max="6" width="8.85546875" customWidth="1"/>
    <col min="7" max="7" width="10.42578125" customWidth="1"/>
    <col min="8" max="26" width="8.85546875" customWidth="1"/>
  </cols>
  <sheetData>
    <row r="1" spans="1:26" ht="14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 t="s">
        <v>24</v>
      </c>
      <c r="C2" s="4"/>
      <c r="D2" s="4"/>
      <c r="E2" s="4" t="s">
        <v>25</v>
      </c>
      <c r="F2" s="49" t="s">
        <v>26</v>
      </c>
      <c r="G2" s="50">
        <v>45962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>
        <v>1</v>
      </c>
      <c r="B4" s="4" t="s">
        <v>27</v>
      </c>
      <c r="C4" s="4"/>
      <c r="D4" s="4"/>
      <c r="E4" s="4"/>
      <c r="F4" s="4"/>
      <c r="G4" s="4"/>
      <c r="H4" s="4" t="s">
        <v>28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>
        <v>2</v>
      </c>
      <c r="B5" s="4" t="s">
        <v>29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>
        <v>3</v>
      </c>
      <c r="B6" s="4" t="s">
        <v>30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>
        <v>4</v>
      </c>
      <c r="B7" s="4" t="s">
        <v>31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>
        <v>5</v>
      </c>
      <c r="B8" s="4" t="s">
        <v>32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>
        <v>6</v>
      </c>
      <c r="B9" s="4" t="s">
        <v>33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>
        <v>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>
        <v>14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4.140625" customWidth="1"/>
    <col min="2" max="3" width="12.140625" customWidth="1"/>
    <col min="4" max="4" width="8.85546875" customWidth="1"/>
    <col min="5" max="5" width="13.85546875" customWidth="1"/>
    <col min="6" max="6" width="18.42578125" customWidth="1"/>
    <col min="7" max="7" width="30" customWidth="1"/>
    <col min="8" max="10" width="10.5703125" customWidth="1"/>
    <col min="11" max="11" width="36.85546875" customWidth="1"/>
    <col min="12" max="12" width="32.85546875" customWidth="1"/>
    <col min="13" max="26" width="8.85546875" customWidth="1"/>
  </cols>
  <sheetData>
    <row r="1" spans="1:26" ht="14.25" customHeight="1">
      <c r="A1" s="51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9.25" customHeight="1">
      <c r="A3" s="52" t="s">
        <v>35</v>
      </c>
      <c r="B3" s="52" t="s">
        <v>36</v>
      </c>
      <c r="C3" s="52" t="s">
        <v>37</v>
      </c>
      <c r="D3" s="53" t="s">
        <v>38</v>
      </c>
      <c r="E3" s="53" t="s">
        <v>39</v>
      </c>
      <c r="F3" s="53" t="s">
        <v>40</v>
      </c>
      <c r="G3" s="53" t="s">
        <v>41</v>
      </c>
      <c r="H3" s="53" t="s">
        <v>42</v>
      </c>
      <c r="I3" s="53" t="s">
        <v>43</v>
      </c>
      <c r="J3" s="53" t="s">
        <v>44</v>
      </c>
      <c r="K3" s="53" t="s">
        <v>45</v>
      </c>
      <c r="L3" s="53" t="s">
        <v>46</v>
      </c>
      <c r="M3" s="53" t="s">
        <v>47</v>
      </c>
      <c r="N3" s="53" t="s">
        <v>48</v>
      </c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4.25" customHeight="1">
      <c r="A4" s="33" t="s">
        <v>49</v>
      </c>
      <c r="B4" s="55">
        <v>3023633492</v>
      </c>
      <c r="C4" s="56"/>
      <c r="D4" s="56">
        <v>75</v>
      </c>
      <c r="E4" s="57">
        <f t="shared" ref="E4:E6" si="0">168000/12</f>
        <v>14000</v>
      </c>
      <c r="F4" s="33" t="s">
        <v>50</v>
      </c>
      <c r="G4" s="33"/>
      <c r="H4" s="58">
        <v>0.15</v>
      </c>
      <c r="I4" s="58">
        <v>0.15</v>
      </c>
      <c r="J4" s="58"/>
      <c r="K4" s="59" t="s">
        <v>51</v>
      </c>
      <c r="L4" s="59" t="s">
        <v>52</v>
      </c>
      <c r="M4" s="60"/>
      <c r="N4" s="6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33" t="s">
        <v>53</v>
      </c>
      <c r="B5" s="41">
        <v>3023594470</v>
      </c>
      <c r="C5" s="56"/>
      <c r="D5" s="56">
        <v>75</v>
      </c>
      <c r="E5" s="57">
        <f t="shared" si="0"/>
        <v>14000</v>
      </c>
      <c r="F5" s="33" t="s">
        <v>54</v>
      </c>
      <c r="G5" s="33"/>
      <c r="H5" s="58">
        <v>0.15</v>
      </c>
      <c r="I5" s="58">
        <v>0.15</v>
      </c>
      <c r="J5" s="58"/>
      <c r="K5" s="59" t="s">
        <v>55</v>
      </c>
      <c r="L5" s="59" t="s">
        <v>56</v>
      </c>
      <c r="M5" s="60"/>
      <c r="N5" s="6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33" t="s">
        <v>57</v>
      </c>
      <c r="B6" s="61">
        <v>3023637013</v>
      </c>
      <c r="C6" s="56"/>
      <c r="D6" s="56">
        <v>75</v>
      </c>
      <c r="E6" s="57">
        <f t="shared" si="0"/>
        <v>14000</v>
      </c>
      <c r="F6" s="33" t="s">
        <v>58</v>
      </c>
      <c r="G6" s="33"/>
      <c r="H6" s="58">
        <v>0.15</v>
      </c>
      <c r="I6" s="58">
        <v>0.15</v>
      </c>
      <c r="J6" s="58"/>
      <c r="K6" s="59" t="s">
        <v>59</v>
      </c>
      <c r="L6" s="59" t="s">
        <v>60</v>
      </c>
      <c r="M6" s="60"/>
      <c r="N6" s="6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E3BC"/>
  </sheetPr>
  <dimension ref="A1:AA1003"/>
  <sheetViews>
    <sheetView tabSelected="1" workbookViewId="0">
      <pane xSplit="4" ySplit="3" topLeftCell="K4" activePane="bottomRight" state="frozen"/>
      <selection pane="topRight" activeCell="E1" sqref="E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8.85546875" customWidth="1"/>
    <col min="2" max="2" width="14.140625" customWidth="1"/>
    <col min="3" max="3" width="43.140625" customWidth="1"/>
    <col min="4" max="4" width="4.85546875" customWidth="1"/>
    <col min="5" max="5" width="18.42578125" customWidth="1"/>
    <col min="6" max="7" width="12.140625" customWidth="1"/>
    <col min="8" max="8" width="13.85546875" customWidth="1"/>
    <col min="9" max="12" width="10.5703125" customWidth="1"/>
    <col min="13" max="13" width="30" customWidth="1"/>
    <col min="14" max="14" width="36.85546875" customWidth="1"/>
    <col min="15" max="15" width="32.85546875" customWidth="1"/>
    <col min="16" max="16" width="10.42578125" customWidth="1"/>
    <col min="17" max="19" width="8.85546875" customWidth="1"/>
    <col min="20" max="20" width="10.140625" customWidth="1"/>
    <col min="21" max="21" width="13.42578125" customWidth="1"/>
    <col min="22" max="22" width="10.140625" customWidth="1"/>
    <col min="23" max="23" width="9.140625" customWidth="1"/>
    <col min="24" max="24" width="10.140625" customWidth="1"/>
    <col min="25" max="27" width="8.85546875" customWidth="1"/>
  </cols>
  <sheetData>
    <row r="1" spans="1:27" ht="14.25" customHeight="1">
      <c r="A1" s="4"/>
      <c r="B1" s="62" t="s">
        <v>61</v>
      </c>
      <c r="C1" s="48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25" customHeight="1">
      <c r="A2" s="4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/>
      <c r="Q2" s="4"/>
      <c r="R2" s="4"/>
      <c r="S2" s="4"/>
      <c r="T2" s="4"/>
      <c r="U2" s="4">
        <v>20</v>
      </c>
      <c r="V2" s="4"/>
      <c r="W2" s="4"/>
      <c r="X2" s="4"/>
      <c r="Y2" s="4"/>
      <c r="Z2" s="4"/>
      <c r="AA2" s="4"/>
    </row>
    <row r="3" spans="1:27" ht="29.25" customHeight="1">
      <c r="A3" s="54"/>
      <c r="B3" s="52" t="s">
        <v>318</v>
      </c>
      <c r="C3" s="52" t="s">
        <v>35</v>
      </c>
      <c r="D3" s="53" t="s">
        <v>62</v>
      </c>
      <c r="E3" s="53" t="s">
        <v>3</v>
      </c>
      <c r="F3" s="52" t="s">
        <v>36</v>
      </c>
      <c r="G3" s="52" t="s">
        <v>63</v>
      </c>
      <c r="H3" s="53" t="s">
        <v>64</v>
      </c>
      <c r="I3" s="53" t="s">
        <v>42</v>
      </c>
      <c r="J3" s="53" t="s">
        <v>43</v>
      </c>
      <c r="K3" s="53" t="s">
        <v>65</v>
      </c>
      <c r="L3" s="53" t="s">
        <v>66</v>
      </c>
      <c r="M3" s="53" t="s">
        <v>316</v>
      </c>
      <c r="N3" s="53" t="s">
        <v>45</v>
      </c>
      <c r="O3" s="53" t="s">
        <v>46</v>
      </c>
      <c r="P3" s="53" t="s">
        <v>47</v>
      </c>
      <c r="Q3" s="53" t="s">
        <v>67</v>
      </c>
      <c r="R3" s="4"/>
      <c r="S3" s="53" t="s">
        <v>315</v>
      </c>
      <c r="T3" s="53" t="s">
        <v>68</v>
      </c>
      <c r="U3" s="63" t="s">
        <v>69</v>
      </c>
      <c r="V3" s="54"/>
      <c r="W3" s="54"/>
      <c r="X3" s="54"/>
      <c r="Y3" s="54"/>
      <c r="Z3" s="54">
        <v>2056</v>
      </c>
      <c r="AA3" s="54"/>
    </row>
    <row r="4" spans="1:27" ht="14.25" customHeight="1">
      <c r="A4" s="4" t="str">
        <f t="shared" ref="A4:A15" si="0">B4&amp;Q4</f>
        <v>3.1sim</v>
      </c>
      <c r="B4" s="33" t="s">
        <v>70</v>
      </c>
      <c r="C4" s="59" t="s">
        <v>71</v>
      </c>
      <c r="D4" s="64">
        <v>14</v>
      </c>
      <c r="E4" s="33" t="s">
        <v>72</v>
      </c>
      <c r="F4" s="56">
        <v>3021142432</v>
      </c>
      <c r="G4" s="56" t="s">
        <v>73</v>
      </c>
      <c r="H4" s="57">
        <v>205.36363636363637</v>
      </c>
      <c r="I4" s="58">
        <v>0.15</v>
      </c>
      <c r="J4" s="58">
        <v>0.15</v>
      </c>
      <c r="K4" s="58" t="s">
        <v>57</v>
      </c>
      <c r="L4" s="65">
        <f>ROUND(1.46688311688312%,4)</f>
        <v>1.47E-2</v>
      </c>
      <c r="M4" s="66" t="s">
        <v>10</v>
      </c>
      <c r="N4" s="59" t="s">
        <v>74</v>
      </c>
      <c r="O4" s="59" t="s">
        <v>71</v>
      </c>
      <c r="P4" s="60">
        <v>45897</v>
      </c>
      <c r="Q4" s="60" t="str">
        <f>IF(P4&lt;Roteiro!$G$2,"sim","não")</f>
        <v>sim</v>
      </c>
      <c r="R4" s="4"/>
      <c r="S4" s="4"/>
      <c r="T4" s="4"/>
      <c r="U4" s="4"/>
      <c r="V4" s="4"/>
      <c r="W4" s="4"/>
      <c r="X4" s="4"/>
      <c r="Y4" s="4"/>
      <c r="Z4" s="4">
        <v>2196</v>
      </c>
      <c r="AA4" s="4"/>
    </row>
    <row r="5" spans="1:27" ht="14.25" customHeight="1">
      <c r="A5" s="4" t="str">
        <f t="shared" si="0"/>
        <v>3.2sim</v>
      </c>
      <c r="B5" s="33" t="s">
        <v>75</v>
      </c>
      <c r="C5" s="59" t="s">
        <v>71</v>
      </c>
      <c r="D5" s="64">
        <v>14</v>
      </c>
      <c r="E5" s="33" t="s">
        <v>72</v>
      </c>
      <c r="F5" s="56">
        <v>3021149593</v>
      </c>
      <c r="G5" s="56" t="s">
        <v>73</v>
      </c>
      <c r="H5" s="57">
        <v>734.33333333333337</v>
      </c>
      <c r="I5" s="58">
        <v>0.15</v>
      </c>
      <c r="J5" s="58">
        <v>0.15</v>
      </c>
      <c r="K5" s="58" t="s">
        <v>57</v>
      </c>
      <c r="L5" s="65">
        <f>ROUND(5.2452380952381%,4)</f>
        <v>5.2499999999999998E-2</v>
      </c>
      <c r="M5" s="66" t="s">
        <v>10</v>
      </c>
      <c r="N5" s="33" t="s">
        <v>76</v>
      </c>
      <c r="O5" s="59" t="s">
        <v>71</v>
      </c>
      <c r="P5" s="60">
        <v>45897</v>
      </c>
      <c r="Q5" s="60" t="str">
        <f>IF(P5&lt;Roteiro!$G$2,"sim","não")</f>
        <v>sim</v>
      </c>
      <c r="R5" s="4"/>
      <c r="S5" s="4"/>
      <c r="T5" s="4"/>
      <c r="U5" s="4"/>
      <c r="V5" s="4"/>
      <c r="W5" s="4"/>
      <c r="X5" s="4"/>
      <c r="Y5" s="4"/>
      <c r="Z5" s="4">
        <v>2391</v>
      </c>
      <c r="AA5" s="4"/>
    </row>
    <row r="6" spans="1:27" ht="14.25" customHeight="1">
      <c r="A6" s="4" t="str">
        <f t="shared" si="0"/>
        <v>3.3sim</v>
      </c>
      <c r="B6" s="33" t="s">
        <v>77</v>
      </c>
      <c r="C6" s="59" t="s">
        <v>71</v>
      </c>
      <c r="D6" s="64">
        <v>14</v>
      </c>
      <c r="E6" s="33" t="s">
        <v>72</v>
      </c>
      <c r="F6" s="56">
        <v>3021150559</v>
      </c>
      <c r="G6" s="56" t="s">
        <v>73</v>
      </c>
      <c r="H6" s="57">
        <v>2086.4545454545455</v>
      </c>
      <c r="I6" s="58">
        <v>0.15</v>
      </c>
      <c r="J6" s="58">
        <v>0.15</v>
      </c>
      <c r="K6" s="58" t="s">
        <v>57</v>
      </c>
      <c r="L6" s="65">
        <v>0.107</v>
      </c>
      <c r="M6" s="66" t="s">
        <v>10</v>
      </c>
      <c r="N6" s="33" t="s">
        <v>78</v>
      </c>
      <c r="O6" s="59" t="s">
        <v>71</v>
      </c>
      <c r="P6" s="60">
        <v>45897</v>
      </c>
      <c r="Q6" s="60" t="str">
        <f>IF(P6&lt;Roteiro!$G$2,"sim","não")</f>
        <v>sim</v>
      </c>
      <c r="R6" s="4"/>
      <c r="S6" s="4" t="s">
        <v>79</v>
      </c>
      <c r="T6" s="67" t="s">
        <v>80</v>
      </c>
      <c r="U6" s="68"/>
      <c r="V6" s="68">
        <v>1500</v>
      </c>
      <c r="W6" s="65">
        <f>ROUND(10.71%,4)</f>
        <v>0.1071</v>
      </c>
      <c r="X6" s="4" t="s">
        <v>81</v>
      </c>
      <c r="Y6" s="4"/>
      <c r="Z6" s="4"/>
      <c r="AA6" s="4">
        <v>4825</v>
      </c>
    </row>
    <row r="7" spans="1:27" ht="14.25" customHeight="1">
      <c r="A7" s="4" t="str">
        <f t="shared" si="0"/>
        <v>3.4sim</v>
      </c>
      <c r="B7" s="33" t="s">
        <v>82</v>
      </c>
      <c r="C7" s="69" t="s">
        <v>83</v>
      </c>
      <c r="D7" s="64">
        <v>10</v>
      </c>
      <c r="E7" s="70" t="s">
        <v>84</v>
      </c>
      <c r="F7" s="70">
        <v>3007625048</v>
      </c>
      <c r="G7" s="56" t="s">
        <v>85</v>
      </c>
      <c r="H7" s="71">
        <v>417.15384615384613</v>
      </c>
      <c r="I7" s="58">
        <v>0.15</v>
      </c>
      <c r="J7" s="58">
        <v>0.15</v>
      </c>
      <c r="K7" s="58" t="s">
        <v>57</v>
      </c>
      <c r="L7" s="72">
        <f>ROUND(2.97967032967033%,4)</f>
        <v>2.98E-2</v>
      </c>
      <c r="M7" s="283">
        <f>U7</f>
        <v>28283</v>
      </c>
      <c r="N7" s="73" t="s">
        <v>86</v>
      </c>
      <c r="O7" s="59" t="str">
        <f t="shared" ref="O7:O12" si="1">C7</f>
        <v>Antonio Jose Souza Filho</v>
      </c>
      <c r="P7" s="60">
        <v>45897</v>
      </c>
      <c r="Q7" s="60" t="str">
        <f>IF(P7&lt;Roteiro!$G$2,"sim","não")</f>
        <v>sim</v>
      </c>
      <c r="R7" s="4"/>
      <c r="S7" s="4"/>
      <c r="T7" s="4"/>
      <c r="U7" s="50">
        <v>28283</v>
      </c>
      <c r="V7" s="4"/>
      <c r="W7" s="4"/>
      <c r="X7" s="4"/>
      <c r="Y7" s="4"/>
      <c r="Z7" s="4">
        <v>2436</v>
      </c>
      <c r="AA7" s="4"/>
    </row>
    <row r="8" spans="1:27" ht="14.25" customHeight="1">
      <c r="A8" s="4" t="str">
        <f t="shared" si="0"/>
        <v>3.5sim</v>
      </c>
      <c r="B8" s="33" t="s">
        <v>87</v>
      </c>
      <c r="C8" s="69" t="s">
        <v>88</v>
      </c>
      <c r="D8" s="64">
        <v>11</v>
      </c>
      <c r="E8" s="33" t="s">
        <v>89</v>
      </c>
      <c r="F8" s="74">
        <v>1163310</v>
      </c>
      <c r="G8" s="56" t="s">
        <v>85</v>
      </c>
      <c r="H8" s="71">
        <v>848.69230769230774</v>
      </c>
      <c r="I8" s="58">
        <v>0.15</v>
      </c>
      <c r="J8" s="58">
        <v>0.15</v>
      </c>
      <c r="K8" s="58" t="s">
        <v>57</v>
      </c>
      <c r="L8" s="72">
        <f>ROUND(6.06208791208791%,4)</f>
        <v>6.0600000000000001E-2</v>
      </c>
      <c r="M8" s="283">
        <f>U8</f>
        <v>19543</v>
      </c>
      <c r="N8" s="73" t="s">
        <v>90</v>
      </c>
      <c r="O8" s="59" t="str">
        <f t="shared" si="1"/>
        <v>João Carlos Pereira Dutra Filho</v>
      </c>
      <c r="P8" s="60">
        <v>45961</v>
      </c>
      <c r="Q8" s="60" t="str">
        <f>IF(P8&lt;Roteiro!$G$2,"sim","não")</f>
        <v>sim</v>
      </c>
      <c r="R8" s="4"/>
      <c r="S8" s="4"/>
      <c r="T8" s="4"/>
      <c r="U8" s="50">
        <v>19543</v>
      </c>
      <c r="V8" s="4" t="s">
        <v>91</v>
      </c>
      <c r="W8" s="4"/>
      <c r="X8" s="4"/>
      <c r="Y8" s="4"/>
      <c r="Z8" s="4">
        <v>2376</v>
      </c>
      <c r="AA8" s="4"/>
    </row>
    <row r="9" spans="1:27" ht="14.25" customHeight="1">
      <c r="A9" s="4" t="str">
        <f t="shared" si="0"/>
        <v>3.6sim</v>
      </c>
      <c r="B9" s="33" t="s">
        <v>92</v>
      </c>
      <c r="C9" s="75" t="s">
        <v>93</v>
      </c>
      <c r="D9" s="64">
        <v>19</v>
      </c>
      <c r="E9" s="70" t="s">
        <v>94</v>
      </c>
      <c r="F9" s="76">
        <v>3006793931</v>
      </c>
      <c r="G9" s="56" t="s">
        <v>85</v>
      </c>
      <c r="H9" s="77">
        <v>776.76923076923072</v>
      </c>
      <c r="I9" s="58">
        <v>0.15</v>
      </c>
      <c r="J9" s="58">
        <v>0.15</v>
      </c>
      <c r="K9" s="58" t="s">
        <v>57</v>
      </c>
      <c r="L9" s="78">
        <f>ROUND(5.54835164835165%,4)</f>
        <v>5.5500000000000001E-2</v>
      </c>
      <c r="M9" s="283">
        <f>U9</f>
        <v>27174</v>
      </c>
      <c r="N9" s="33" t="s">
        <v>95</v>
      </c>
      <c r="O9" s="59" t="str">
        <f t="shared" si="1"/>
        <v>Patricia Maria Abreu Machado</v>
      </c>
      <c r="P9" s="60">
        <v>45961</v>
      </c>
      <c r="Q9" s="60" t="str">
        <f>IF(P9&lt;Roteiro!$G$2,"sim","não")</f>
        <v>sim</v>
      </c>
      <c r="R9" s="4"/>
      <c r="S9" s="4"/>
      <c r="T9" s="4"/>
      <c r="U9" s="50">
        <v>27174</v>
      </c>
      <c r="V9" s="4" t="s">
        <v>91</v>
      </c>
      <c r="W9" s="4"/>
      <c r="X9" s="4"/>
      <c r="Y9" s="4"/>
      <c r="Z9" s="4">
        <v>1933</v>
      </c>
      <c r="AA9" s="4"/>
    </row>
    <row r="10" spans="1:27" ht="14.25" customHeight="1">
      <c r="A10" s="4" t="str">
        <f t="shared" si="0"/>
        <v>3.7sim</v>
      </c>
      <c r="B10" s="33" t="s">
        <v>96</v>
      </c>
      <c r="C10" s="69" t="s">
        <v>97</v>
      </c>
      <c r="D10" s="64">
        <v>15</v>
      </c>
      <c r="E10" s="70" t="s">
        <v>98</v>
      </c>
      <c r="F10" s="74">
        <v>38398091</v>
      </c>
      <c r="G10" s="56" t="s">
        <v>85</v>
      </c>
      <c r="H10" s="79">
        <v>1013.3846153846154</v>
      </c>
      <c r="I10" s="58">
        <v>0.15</v>
      </c>
      <c r="J10" s="58">
        <v>0.15</v>
      </c>
      <c r="K10" s="58" t="s">
        <v>57</v>
      </c>
      <c r="L10" s="80">
        <f>ROUND(7.23846153846154%,4)</f>
        <v>7.2400000000000006E-2</v>
      </c>
      <c r="M10" s="283">
        <f>U10</f>
        <v>29085</v>
      </c>
      <c r="N10" s="33" t="s">
        <v>99</v>
      </c>
      <c r="O10" s="59" t="str">
        <f t="shared" si="1"/>
        <v>Fatima Abdel Hafiz Khalifa Cavalcanti</v>
      </c>
      <c r="P10" s="60">
        <v>45961</v>
      </c>
      <c r="Q10" s="60" t="str">
        <f>IF(P10&lt;Roteiro!$G$2,"sim","não")</f>
        <v>sim</v>
      </c>
      <c r="R10" s="4"/>
      <c r="S10" s="70" t="s">
        <v>100</v>
      </c>
      <c r="T10" s="4"/>
      <c r="U10" s="50">
        <v>29085</v>
      </c>
      <c r="V10" s="4"/>
      <c r="W10" s="4"/>
      <c r="X10" s="4"/>
      <c r="Y10" s="4"/>
      <c r="Z10" s="4"/>
      <c r="AA10" s="4"/>
    </row>
    <row r="11" spans="1:27" ht="14.25" customHeight="1">
      <c r="A11" s="4" t="str">
        <f t="shared" ref="A11" si="2">B11&amp;Q11</f>
        <v>3.8não</v>
      </c>
      <c r="B11" s="33" t="s">
        <v>268</v>
      </c>
      <c r="C11" s="69" t="s">
        <v>299</v>
      </c>
      <c r="D11" s="64">
        <v>31</v>
      </c>
      <c r="E11" s="70" t="s">
        <v>300</v>
      </c>
      <c r="F11" s="74">
        <v>3020257082</v>
      </c>
      <c r="G11" s="56" t="s">
        <v>85</v>
      </c>
      <c r="H11" s="79">
        <v>1193</v>
      </c>
      <c r="I11" s="58">
        <v>0.15</v>
      </c>
      <c r="J11" s="58">
        <v>0.15</v>
      </c>
      <c r="K11" s="58" t="s">
        <v>57</v>
      </c>
      <c r="L11" s="80">
        <v>8.5199999999999998E-2</v>
      </c>
      <c r="M11" s="283">
        <f>U11</f>
        <v>29585</v>
      </c>
      <c r="N11" s="139" t="s">
        <v>301</v>
      </c>
      <c r="O11" s="59" t="str">
        <f t="shared" ref="O11" si="3">C11</f>
        <v>Ana Maria Marques De Brito</v>
      </c>
      <c r="P11" s="60">
        <v>46023</v>
      </c>
      <c r="Q11" s="60" t="str">
        <f>IF(P11&lt;Roteiro!$G$2,"sim","não")</f>
        <v>não</v>
      </c>
      <c r="R11" s="4"/>
      <c r="S11" s="70" t="s">
        <v>100</v>
      </c>
      <c r="T11" s="4"/>
      <c r="U11" s="50">
        <v>29585</v>
      </c>
      <c r="V11" s="4"/>
      <c r="W11" s="4"/>
      <c r="X11" s="4"/>
      <c r="Y11" s="4"/>
      <c r="Z11" s="4"/>
      <c r="AA11" s="4"/>
    </row>
    <row r="12" spans="1:27" ht="14.25" customHeight="1">
      <c r="A12" s="4" t="str">
        <f t="shared" si="0"/>
        <v>3.0sim</v>
      </c>
      <c r="B12" s="33" t="s">
        <v>101</v>
      </c>
      <c r="C12" s="81" t="s">
        <v>57</v>
      </c>
      <c r="D12" s="57" t="s">
        <v>102</v>
      </c>
      <c r="E12" s="70" t="s">
        <v>8</v>
      </c>
      <c r="F12" s="81">
        <v>3023637013</v>
      </c>
      <c r="G12" s="56"/>
      <c r="H12" s="77">
        <f>14000-SUM(H4:H9)</f>
        <v>8931.2331002331011</v>
      </c>
      <c r="I12" s="58">
        <v>0.15</v>
      </c>
      <c r="J12" s="58">
        <v>0.15</v>
      </c>
      <c r="K12" s="58" t="s">
        <v>57</v>
      </c>
      <c r="L12" s="82">
        <f>100%-SUM(L4:L9)</f>
        <v>0.67989999999999995</v>
      </c>
      <c r="M12" s="66" t="s">
        <v>10</v>
      </c>
      <c r="N12" s="33" t="str">
        <f>Cad.Usinas!K6</f>
        <v xml:space="preserve">PV MANGABA , S/N , RUA PROJETADA CEP: 65590-000 MANGABA - BARREIRINHAS - MA </v>
      </c>
      <c r="O12" s="59" t="str">
        <f t="shared" si="1"/>
        <v>Usina 3</v>
      </c>
      <c r="P12" s="60">
        <v>45839</v>
      </c>
      <c r="Q12" s="60" t="str">
        <f>IF(P12&lt;Roteiro!$G$2,"sim","não")</f>
        <v>sim</v>
      </c>
      <c r="R12" s="4"/>
      <c r="S12" s="4"/>
      <c r="T12" s="4"/>
      <c r="U12" s="4"/>
      <c r="V12" s="12">
        <v>45870</v>
      </c>
      <c r="W12" s="4">
        <v>700</v>
      </c>
      <c r="X12" s="4"/>
      <c r="Y12" s="4"/>
      <c r="Z12" s="4">
        <v>1922</v>
      </c>
      <c r="AA12" s="4"/>
    </row>
    <row r="13" spans="1:27" ht="14.25" customHeight="1">
      <c r="A13" s="4" t="str">
        <f t="shared" si="0"/>
        <v/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12">
        <v>45901</v>
      </c>
      <c r="W13" s="68">
        <f>H6-Z21</f>
        <v>321.4545454545455</v>
      </c>
      <c r="X13" s="68">
        <f>W12+W13</f>
        <v>1021.4545454545455</v>
      </c>
      <c r="Y13" s="4"/>
      <c r="Z13" s="4">
        <v>1902</v>
      </c>
      <c r="AA13" s="4"/>
    </row>
    <row r="14" spans="1:27" ht="14.25" customHeight="1">
      <c r="A14" s="4" t="str">
        <f t="shared" si="0"/>
        <v>2.1sim</v>
      </c>
      <c r="B14" s="33" t="s">
        <v>103</v>
      </c>
      <c r="C14" s="81" t="s">
        <v>104</v>
      </c>
      <c r="D14" s="57" t="s">
        <v>102</v>
      </c>
      <c r="E14" s="70" t="s">
        <v>105</v>
      </c>
      <c r="F14" s="83">
        <v>3002796782</v>
      </c>
      <c r="G14" s="56" t="s">
        <v>85</v>
      </c>
      <c r="H14" s="77">
        <v>1536.5</v>
      </c>
      <c r="I14" s="58">
        <v>0.15</v>
      </c>
      <c r="J14" s="58">
        <v>0.15</v>
      </c>
      <c r="K14" s="58" t="s">
        <v>53</v>
      </c>
      <c r="L14" s="84">
        <f>ROUND(10.975%,4)</f>
        <v>0.10979999999999999</v>
      </c>
      <c r="M14" s="283">
        <f>U14</f>
        <v>35943</v>
      </c>
      <c r="N14" s="59" t="s">
        <v>106</v>
      </c>
      <c r="O14" s="59" t="str">
        <f t="shared" ref="O14:O18" si="4">C14</f>
        <v>Lucas Medeiros Lima</v>
      </c>
      <c r="P14" s="60">
        <v>45961</v>
      </c>
      <c r="Q14" s="60" t="str">
        <f>IF(P14&lt;Roteiro!$G$2,"sim","não")</f>
        <v>sim</v>
      </c>
      <c r="R14" s="4"/>
      <c r="S14" s="70" t="s">
        <v>107</v>
      </c>
      <c r="T14" s="4"/>
      <c r="U14" s="50">
        <v>35943</v>
      </c>
      <c r="V14" s="12">
        <v>45931</v>
      </c>
      <c r="W14" s="68">
        <f>-$Z$21+$V$6</f>
        <v>-265</v>
      </c>
      <c r="X14" s="68">
        <f>X10+W14</f>
        <v>-265</v>
      </c>
      <c r="Y14" s="4"/>
      <c r="Z14" s="4">
        <v>2060</v>
      </c>
      <c r="AA14" s="4"/>
    </row>
    <row r="15" spans="1:27" ht="14.25" customHeight="1">
      <c r="A15" s="4" t="str">
        <f t="shared" si="0"/>
        <v>2.2sim</v>
      </c>
      <c r="B15" s="33" t="s">
        <v>108</v>
      </c>
      <c r="C15" s="81" t="s">
        <v>109</v>
      </c>
      <c r="D15" s="57" t="s">
        <v>102</v>
      </c>
      <c r="E15" s="70" t="s">
        <v>110</v>
      </c>
      <c r="F15" s="55">
        <v>3022893768</v>
      </c>
      <c r="G15" s="56" t="s">
        <v>73</v>
      </c>
      <c r="H15" s="77">
        <v>859</v>
      </c>
      <c r="I15" s="85">
        <v>0.17</v>
      </c>
      <c r="J15" s="58">
        <v>0.17</v>
      </c>
      <c r="K15" s="58" t="s">
        <v>53</v>
      </c>
      <c r="L15" s="84">
        <f>ROUND(6.13571428571429%,4)</f>
        <v>6.1400000000000003E-2</v>
      </c>
      <c r="M15" s="66" t="s">
        <v>10</v>
      </c>
      <c r="N15" s="59" t="s">
        <v>111</v>
      </c>
      <c r="O15" s="59" t="str">
        <f t="shared" si="4"/>
        <v>SORRISO SAUDE ODONTOLOGIA LTDA</v>
      </c>
      <c r="P15" s="60">
        <v>45961</v>
      </c>
      <c r="Q15" s="60" t="str">
        <f>IF(P15&lt;Roteiro!$G$2,"sim","não")</f>
        <v>sim</v>
      </c>
      <c r="R15" s="4"/>
      <c r="S15" s="70" t="s">
        <v>112</v>
      </c>
      <c r="T15" s="4"/>
      <c r="U15" s="4"/>
      <c r="V15" s="12">
        <v>45931</v>
      </c>
      <c r="W15" s="68">
        <f>-$Z$21+$V$6</f>
        <v>-265</v>
      </c>
      <c r="X15" s="68">
        <f t="shared" ref="X15" si="5">X12+W15</f>
        <v>-265</v>
      </c>
      <c r="Y15" s="4"/>
      <c r="Z15" s="4">
        <v>2060</v>
      </c>
      <c r="AA15" s="4"/>
    </row>
    <row r="16" spans="1:27" ht="14.25" customHeight="1">
      <c r="A16" s="4" t="str">
        <f t="shared" ref="A16" si="6">B16&amp;Q16</f>
        <v>2.3não</v>
      </c>
      <c r="B16" s="33" t="s">
        <v>302</v>
      </c>
      <c r="C16" s="81" t="s">
        <v>303</v>
      </c>
      <c r="D16" s="57" t="s">
        <v>118</v>
      </c>
      <c r="E16" s="70" t="s">
        <v>304</v>
      </c>
      <c r="F16" s="55">
        <v>3005806061</v>
      </c>
      <c r="G16" s="56" t="s">
        <v>85</v>
      </c>
      <c r="H16" s="77">
        <v>172.38461538461539</v>
      </c>
      <c r="I16" s="58">
        <v>0.15</v>
      </c>
      <c r="J16" s="58">
        <v>0.15</v>
      </c>
      <c r="K16" s="58" t="s">
        <v>53</v>
      </c>
      <c r="L16" s="84">
        <v>1.23E-2</v>
      </c>
      <c r="M16" s="283">
        <f>U16</f>
        <v>24298</v>
      </c>
      <c r="N16" s="279" t="s">
        <v>305</v>
      </c>
      <c r="O16" s="59" t="str">
        <f t="shared" ref="O16" si="7">C16</f>
        <v>José de Ribamar Aguiar Costa (Zeca)</v>
      </c>
      <c r="P16" s="60">
        <v>46023</v>
      </c>
      <c r="Q16" s="60" t="str">
        <f>IF(P16&lt;Roteiro!$G$2,"sim","não")</f>
        <v>não</v>
      </c>
      <c r="R16" s="4"/>
      <c r="S16" s="70" t="s">
        <v>112</v>
      </c>
      <c r="T16" s="4"/>
      <c r="U16" s="50">
        <v>24298</v>
      </c>
      <c r="V16" s="12">
        <v>45931</v>
      </c>
      <c r="W16" s="68">
        <f>-$Z$21+$V$6</f>
        <v>-265</v>
      </c>
      <c r="X16" s="68">
        <f t="shared" ref="X16" si="8">X13+W16</f>
        <v>756.4545454545455</v>
      </c>
      <c r="Y16" s="4"/>
      <c r="Z16" s="4">
        <v>2060</v>
      </c>
      <c r="AA16" s="4"/>
    </row>
    <row r="17" spans="1:27" ht="14.25" customHeight="1">
      <c r="A17" s="245"/>
      <c r="B17" s="33" t="s">
        <v>306</v>
      </c>
      <c r="C17" s="81" t="s">
        <v>307</v>
      </c>
      <c r="D17" s="57" t="s">
        <v>118</v>
      </c>
      <c r="E17" s="280" t="s">
        <v>308</v>
      </c>
      <c r="F17" s="280">
        <v>3022544461</v>
      </c>
      <c r="G17" s="56" t="s">
        <v>85</v>
      </c>
      <c r="H17" s="77">
        <v>241.125</v>
      </c>
      <c r="I17" s="58">
        <v>0.15</v>
      </c>
      <c r="J17" s="58">
        <v>0.15</v>
      </c>
      <c r="K17" s="58" t="s">
        <v>53</v>
      </c>
      <c r="L17" s="84">
        <v>1.7223214285714286E-2</v>
      </c>
      <c r="M17" s="283">
        <f>U17</f>
        <v>31103</v>
      </c>
      <c r="N17" s="279" t="s">
        <v>309</v>
      </c>
      <c r="O17" s="59"/>
      <c r="P17" s="60"/>
      <c r="Q17" s="60"/>
      <c r="R17" s="245"/>
      <c r="S17" s="246"/>
      <c r="T17" s="245"/>
      <c r="U17" s="247">
        <v>31103</v>
      </c>
      <c r="V17" s="248"/>
      <c r="W17" s="249"/>
      <c r="X17" s="249"/>
      <c r="Y17" s="245"/>
      <c r="Z17" s="245"/>
      <c r="AA17" s="245"/>
    </row>
    <row r="18" spans="1:27" ht="14.25" customHeight="1">
      <c r="A18" s="4" t="str">
        <f>B18&amp;Q22</f>
        <v>2.0</v>
      </c>
      <c r="B18" s="33" t="s">
        <v>113</v>
      </c>
      <c r="C18" s="81" t="s">
        <v>53</v>
      </c>
      <c r="D18" s="57" t="s">
        <v>102</v>
      </c>
      <c r="E18" s="70" t="s">
        <v>8</v>
      </c>
      <c r="F18" s="41">
        <v>3023594470</v>
      </c>
      <c r="G18" s="56" t="s">
        <v>73</v>
      </c>
      <c r="H18" s="77">
        <f>14000</f>
        <v>14000</v>
      </c>
      <c r="I18" s="58">
        <v>0.15</v>
      </c>
      <c r="J18" s="58">
        <v>0.15</v>
      </c>
      <c r="K18" s="58" t="s">
        <v>53</v>
      </c>
      <c r="L18" s="84">
        <f>100%</f>
        <v>1</v>
      </c>
      <c r="M18" s="66" t="s">
        <v>10</v>
      </c>
      <c r="N18" s="59" t="s">
        <v>55</v>
      </c>
      <c r="O18" s="59" t="str">
        <f t="shared" si="4"/>
        <v>Usina 2</v>
      </c>
      <c r="P18" s="60">
        <v>45839</v>
      </c>
      <c r="Q18" s="60" t="str">
        <f>IF(P18&lt;Roteiro!$G$2,"sim","não")</f>
        <v>sim</v>
      </c>
      <c r="R18" s="4"/>
      <c r="S18" s="4"/>
      <c r="T18" s="4"/>
      <c r="U18" s="4"/>
      <c r="V18" s="12">
        <v>45931</v>
      </c>
      <c r="W18" s="68">
        <f>-$Z$21+$V$6</f>
        <v>-265</v>
      </c>
      <c r="X18" s="68">
        <f>X13+W18</f>
        <v>756.4545454545455</v>
      </c>
      <c r="Y18" s="4"/>
      <c r="Z18" s="4">
        <v>2060</v>
      </c>
      <c r="AA18" s="4"/>
    </row>
    <row r="19" spans="1:27" ht="14.25" customHeight="1">
      <c r="A19" s="4" t="str">
        <f t="shared" ref="A19:A20" si="9">B19&amp;Q19</f>
        <v/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12">
        <v>45962</v>
      </c>
      <c r="W19" s="68">
        <f t="shared" ref="W19:W21" si="10">W18</f>
        <v>-265</v>
      </c>
      <c r="X19" s="68">
        <f t="shared" ref="X19:X21" si="11">X18+W19</f>
        <v>491.4545454545455</v>
      </c>
      <c r="Y19" s="4"/>
      <c r="Z19" s="4">
        <v>1671</v>
      </c>
      <c r="AA19" s="4"/>
    </row>
    <row r="20" spans="1:27" ht="14.25" customHeight="1">
      <c r="A20" s="4" t="str">
        <f t="shared" si="9"/>
        <v>1.0sim</v>
      </c>
      <c r="B20" s="33" t="s">
        <v>114</v>
      </c>
      <c r="C20" s="81" t="s">
        <v>49</v>
      </c>
      <c r="D20" s="57" t="s">
        <v>102</v>
      </c>
      <c r="E20" s="70" t="s">
        <v>8</v>
      </c>
      <c r="F20" s="55">
        <v>3023633492</v>
      </c>
      <c r="G20" s="56"/>
      <c r="H20" s="77">
        <f>14000</f>
        <v>14000</v>
      </c>
      <c r="I20" s="58">
        <v>0.15</v>
      </c>
      <c r="J20" s="58">
        <v>0.15</v>
      </c>
      <c r="K20" s="58" t="s">
        <v>49</v>
      </c>
      <c r="L20" s="82">
        <f>100%-SUM(L12:L13)</f>
        <v>0.32010000000000005</v>
      </c>
      <c r="M20" s="66" t="s">
        <v>10</v>
      </c>
      <c r="N20" s="33"/>
      <c r="O20" s="59" t="str">
        <f>C20</f>
        <v>Usina 1</v>
      </c>
      <c r="P20" s="60">
        <v>45839</v>
      </c>
      <c r="Q20" s="60" t="str">
        <f>IF(P20&lt;Roteiro!$G$2,"sim","não")</f>
        <v>sim</v>
      </c>
      <c r="R20" s="4"/>
      <c r="S20" s="4"/>
      <c r="T20" s="4"/>
      <c r="U20" s="4"/>
      <c r="V20" s="12">
        <v>45992</v>
      </c>
      <c r="W20" s="68">
        <f t="shared" si="10"/>
        <v>-265</v>
      </c>
      <c r="X20" s="68">
        <f t="shared" si="11"/>
        <v>226.4545454545455</v>
      </c>
      <c r="Y20" s="4"/>
      <c r="Z20" s="4">
        <v>2008</v>
      </c>
      <c r="AA20" s="4"/>
    </row>
    <row r="21" spans="1:27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2">
        <v>46023</v>
      </c>
      <c r="W21" s="68">
        <f t="shared" si="10"/>
        <v>-265</v>
      </c>
      <c r="X21" s="68">
        <f t="shared" si="11"/>
        <v>-38.545454545454504</v>
      </c>
      <c r="Y21" s="4"/>
      <c r="Z21" s="4">
        <v>1765</v>
      </c>
      <c r="AA21" s="4"/>
    </row>
    <row r="22" spans="1:27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12">
        <v>46082</v>
      </c>
      <c r="W23" s="4"/>
      <c r="X23" s="4"/>
      <c r="Y23" s="4"/>
      <c r="Z23" s="4">
        <v>700</v>
      </c>
      <c r="AA23" s="4"/>
    </row>
    <row r="24" spans="1:27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68"/>
      <c r="X24" s="4"/>
      <c r="Y24" s="4"/>
      <c r="Z24" s="4">
        <f>P26-Z23</f>
        <v>1736</v>
      </c>
      <c r="AA24" s="4"/>
    </row>
    <row r="25" spans="1:27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4.25" customHeight="1">
      <c r="A26" s="4"/>
      <c r="B26" s="4"/>
      <c r="C26" s="4" t="s">
        <v>296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 t="s">
        <v>115</v>
      </c>
      <c r="P26" s="4">
        <f>MAX(Z3:Z21)</f>
        <v>2436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4.25" customHeight="1">
      <c r="A27" s="4"/>
      <c r="B27" s="4"/>
      <c r="C27" s="50">
        <v>45992</v>
      </c>
      <c r="D27" s="4"/>
      <c r="E27" s="275">
        <f>SUMIF(Medições!K:K,Cad.RateioConsumo!C27,Medições!V:V)</f>
        <v>7867.4299999999994</v>
      </c>
      <c r="F27" s="4"/>
      <c r="G27" s="4"/>
      <c r="H27" s="4"/>
      <c r="I27" s="4"/>
      <c r="J27" s="4"/>
      <c r="K27" s="4"/>
      <c r="L27" s="4"/>
      <c r="M27" s="4"/>
      <c r="N27" s="4"/>
      <c r="O27" s="4" t="s">
        <v>116</v>
      </c>
      <c r="P27" s="68">
        <f>AVERAGE(Z3:Z21)</f>
        <v>2059.7333333333331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4.25" customHeight="1">
      <c r="A28" s="4"/>
      <c r="B28" s="4"/>
      <c r="C28" s="50">
        <v>45962</v>
      </c>
      <c r="D28" s="4"/>
      <c r="E28" s="275">
        <f>SUMIF(Medições!K:K,Cad.RateioConsumo!C28,Medições!V:V)</f>
        <v>4128.5600000000013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4.25" customHeight="1">
      <c r="A29" s="4"/>
      <c r="B29" s="4"/>
      <c r="C29" s="50">
        <v>45931</v>
      </c>
      <c r="D29" s="4"/>
      <c r="E29" s="275">
        <f>SUMIF(Medições!K:K,Cad.RateioConsumo!C29,Medições!V:V)</f>
        <v>3478.63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4.25" customHeight="1">
      <c r="A30" s="4"/>
      <c r="B30" s="4"/>
      <c r="C30" s="50">
        <v>45901</v>
      </c>
      <c r="D30" s="4"/>
      <c r="E30" s="275">
        <f>SUMIF(Medições!K:K,Cad.RateioConsumo!C30,Medições!V:V)</f>
        <v>3005.25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4.25" customHeight="1">
      <c r="A31" s="4"/>
      <c r="B31" s="4"/>
      <c r="C31" s="50">
        <v>45870</v>
      </c>
      <c r="D31" s="4"/>
      <c r="E31" s="275">
        <f>SUMIF(Medições!K:K,Cad.RateioConsumo!C31,Medições!V:V)</f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4.25" customHeight="1">
      <c r="A32" s="4"/>
      <c r="B32" s="4"/>
      <c r="C32" s="50"/>
      <c r="D32" s="4"/>
      <c r="E32" s="275">
        <f>SUMIF(Medições!K:K,Cad.RateioConsumo!C32,Medições!V:V)</f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4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4.2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conditionalFormatting sqref="C10:C11 F10:F11 H10:H11 L10:L11 S10:S11 S14:S17">
    <cfRule type="expression" dxfId="28" priority="13">
      <formula>$L10="Efetivado"</formula>
    </cfRule>
    <cfRule type="expression" dxfId="27" priority="14">
      <formula>$L10="Negado"</formula>
    </cfRule>
    <cfRule type="expression" dxfId="26" priority="15">
      <formula>$L10="Em Análise"</formula>
    </cfRule>
    <cfRule type="expression" dxfId="25" priority="16">
      <formula>$L10="Contrato p/Assinatura"</formula>
    </cfRule>
  </conditionalFormatting>
  <conditionalFormatting sqref="E7 E22 E14:E16 E9:E12 E18 E20">
    <cfRule type="expression" dxfId="24" priority="17">
      <formula>$M7="Negado"</formula>
    </cfRule>
    <cfRule type="expression" dxfId="23" priority="18">
      <formula>$M7="Em Análise"</formula>
    </cfRule>
    <cfRule type="expression" dxfId="22" priority="19">
      <formula>$M7="Efetivado"</formula>
    </cfRule>
  </conditionalFormatting>
  <conditionalFormatting sqref="E17">
    <cfRule type="expression" dxfId="21" priority="10">
      <formula>$M17="Negado"</formula>
    </cfRule>
    <cfRule type="expression" dxfId="20" priority="11">
      <formula>$M17="Em Análise"</formula>
    </cfRule>
    <cfRule type="expression" dxfId="19" priority="12">
      <formula>$M17="Contrato p/Assinatura"</formula>
    </cfRule>
  </conditionalFormatting>
  <conditionalFormatting sqref="E17">
    <cfRule type="expression" dxfId="18" priority="9">
      <formula>$M17="Efetivado"</formula>
    </cfRule>
  </conditionalFormatting>
  <conditionalFormatting sqref="F17">
    <cfRule type="expression" dxfId="17" priority="2">
      <formula>$M17="Negado"</formula>
    </cfRule>
    <cfRule type="expression" dxfId="16" priority="3">
      <formula>$M17="Em Análise"</formula>
    </cfRule>
    <cfRule type="expression" dxfId="15" priority="4">
      <formula>$M17="Contrato p/Assinatura"</formula>
    </cfRule>
  </conditionalFormatting>
  <conditionalFormatting sqref="F17">
    <cfRule type="expression" dxfId="14" priority="1">
      <formula>$M17="Efetivado"</formula>
    </cfRule>
  </conditionalFormatting>
  <conditionalFormatting sqref="F17">
    <cfRule type="expression" dxfId="13" priority="5">
      <formula>$M21="Efetivado"</formula>
    </cfRule>
    <cfRule type="expression" dxfId="12" priority="6">
      <formula>$M21="Negado"</formula>
    </cfRule>
    <cfRule type="expression" dxfId="11" priority="7">
      <formula>$M21="Em Análise"</formula>
    </cfRule>
    <cfRule type="expression" dxfId="10" priority="8">
      <formula>$M21="Contrato p/Assinatura"</formula>
    </cfRule>
  </conditionalFormatting>
  <hyperlinks>
    <hyperlink ref="M5" r:id="rId1"/>
    <hyperlink ref="M6" r:id="rId2"/>
    <hyperlink ref="T6" r:id="rId3"/>
    <hyperlink ref="M15" r:id="rId4"/>
    <hyperlink ref="M12" r:id="rId5"/>
    <hyperlink ref="M18" r:id="rId6"/>
    <hyperlink ref="M20" r:id="rId7"/>
  </hyperlinks>
  <pageMargins left="0.7" right="0.7" top="0.75" bottom="0.75" header="0" footer="0"/>
  <pageSetup orientation="landscape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workbookViewId="0">
      <selection activeCell="F27" sqref="F27"/>
    </sheetView>
  </sheetViews>
  <sheetFormatPr defaultColWidth="14.42578125" defaultRowHeight="15" customHeight="1"/>
  <cols>
    <col min="1" max="1" width="13.85546875" customWidth="1"/>
    <col min="2" max="2" width="8.85546875" customWidth="1"/>
    <col min="3" max="3" width="10.85546875" customWidth="1"/>
    <col min="4" max="4" width="10.140625" customWidth="1"/>
    <col min="5" max="5" width="10.42578125" customWidth="1"/>
    <col min="6" max="6" width="10.140625" customWidth="1"/>
    <col min="7" max="9" width="8.85546875" customWidth="1"/>
    <col min="10" max="10" width="10.85546875" customWidth="1"/>
    <col min="11" max="26" width="8.85546875" customWidth="1"/>
  </cols>
  <sheetData>
    <row r="1" spans="1:26" ht="14.25" customHeight="1">
      <c r="A1" s="4"/>
      <c r="B1" s="4"/>
      <c r="C1" s="4"/>
      <c r="D1" s="68"/>
      <c r="E1" s="4"/>
      <c r="F1" s="4"/>
      <c r="G1" s="4"/>
      <c r="H1" s="4"/>
      <c r="I1" s="4"/>
      <c r="J1" s="4" t="s">
        <v>28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51" t="s">
        <v>119</v>
      </c>
      <c r="C2" s="4"/>
      <c r="D2" s="6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6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25" customHeight="1">
      <c r="A4" s="54"/>
      <c r="B4" s="63" t="s">
        <v>35</v>
      </c>
      <c r="C4" s="63" t="s">
        <v>36</v>
      </c>
      <c r="D4" s="87" t="s">
        <v>25</v>
      </c>
      <c r="E4" s="87" t="s">
        <v>120</v>
      </c>
      <c r="F4" s="87" t="s">
        <v>121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4.25" customHeight="1">
      <c r="A5" s="4" t="str">
        <f t="shared" ref="A5:A26" si="0">B5&amp;F5</f>
        <v>Usina 107/2025</v>
      </c>
      <c r="B5" s="56" t="s">
        <v>49</v>
      </c>
      <c r="C5" s="55">
        <v>3023633492</v>
      </c>
      <c r="D5" s="88">
        <v>12608</v>
      </c>
      <c r="E5" s="89">
        <v>45863</v>
      </c>
      <c r="F5" s="90" t="s">
        <v>122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tr">
        <f t="shared" si="0"/>
        <v>Usina 108/2025</v>
      </c>
      <c r="B6" s="56" t="s">
        <v>49</v>
      </c>
      <c r="C6" s="55">
        <v>3023633492</v>
      </c>
      <c r="D6" s="88">
        <v>16597</v>
      </c>
      <c r="E6" s="89">
        <v>45895</v>
      </c>
      <c r="F6" s="90" t="s">
        <v>123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tr">
        <f t="shared" si="0"/>
        <v>Usina 109/2025</v>
      </c>
      <c r="B7" s="56" t="s">
        <v>49</v>
      </c>
      <c r="C7" s="55">
        <v>3023633492</v>
      </c>
      <c r="D7" s="88">
        <v>16887</v>
      </c>
      <c r="E7" s="89">
        <v>45926</v>
      </c>
      <c r="F7" s="90" t="s">
        <v>124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tr">
        <f t="shared" si="0"/>
        <v>Usina 110/2025</v>
      </c>
      <c r="B8" s="56" t="s">
        <v>49</v>
      </c>
      <c r="C8" s="55">
        <v>3023633492</v>
      </c>
      <c r="D8" s="88">
        <v>16135</v>
      </c>
      <c r="E8" s="89">
        <v>45957</v>
      </c>
      <c r="F8" s="90" t="s">
        <v>125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 t="str">
        <f t="shared" si="0"/>
        <v>Usina 111/2025</v>
      </c>
      <c r="B9" s="56" t="s">
        <v>49</v>
      </c>
      <c r="C9" s="55">
        <v>3023633492</v>
      </c>
      <c r="D9" s="88">
        <v>15452</v>
      </c>
      <c r="E9" s="89">
        <v>45987</v>
      </c>
      <c r="F9" s="90" t="s">
        <v>26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 t="str">
        <f t="shared" ref="A10" si="1">B10&amp;F10</f>
        <v>Usina 112/2025</v>
      </c>
      <c r="B10" s="56" t="s">
        <v>49</v>
      </c>
      <c r="C10" s="55">
        <v>3023633492</v>
      </c>
      <c r="D10" s="88">
        <v>12122</v>
      </c>
      <c r="E10" s="264" t="s">
        <v>285</v>
      </c>
      <c r="F10" s="90" t="s">
        <v>143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 t="str">
        <f t="shared" ref="A11" si="2">B11&amp;F11</f>
        <v>Usina 101/2026</v>
      </c>
      <c r="B11" s="56" t="s">
        <v>49</v>
      </c>
      <c r="C11" s="55">
        <v>3023633492</v>
      </c>
      <c r="D11" s="88">
        <v>11655</v>
      </c>
      <c r="E11" s="264">
        <v>46049</v>
      </c>
      <c r="F11" s="90" t="s">
        <v>286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 t="str">
        <f t="shared" si="0"/>
        <v/>
      </c>
      <c r="B12" s="41"/>
      <c r="C12" s="41"/>
      <c r="D12" s="41"/>
      <c r="E12" s="41"/>
      <c r="F12" s="4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 t="str">
        <f t="shared" si="0"/>
        <v>Usina 207/2025</v>
      </c>
      <c r="B13" s="56" t="s">
        <v>53</v>
      </c>
      <c r="C13" s="61">
        <v>3023594470</v>
      </c>
      <c r="D13" s="91">
        <v>15120</v>
      </c>
      <c r="E13" s="92">
        <v>45863</v>
      </c>
      <c r="F13" s="93" t="s">
        <v>122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 t="str">
        <f t="shared" si="0"/>
        <v>Usina 208/2025</v>
      </c>
      <c r="B14" s="56" t="s">
        <v>53</v>
      </c>
      <c r="C14" s="61">
        <v>3023594470</v>
      </c>
      <c r="D14" s="88">
        <v>16448</v>
      </c>
      <c r="E14" s="89">
        <v>45895</v>
      </c>
      <c r="F14" s="90" t="s">
        <v>123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 t="str">
        <f t="shared" si="0"/>
        <v>Usina 209/2025</v>
      </c>
      <c r="B15" s="56" t="s">
        <v>53</v>
      </c>
      <c r="C15" s="61">
        <v>3023594470</v>
      </c>
      <c r="D15" s="88">
        <v>16732</v>
      </c>
      <c r="E15" s="89">
        <v>45926</v>
      </c>
      <c r="F15" s="90" t="s">
        <v>124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 t="str">
        <f t="shared" si="0"/>
        <v>Usina 210/2025</v>
      </c>
      <c r="B16" s="56" t="s">
        <v>53</v>
      </c>
      <c r="C16" s="61">
        <v>3023594470</v>
      </c>
      <c r="D16" s="88">
        <v>16983</v>
      </c>
      <c r="E16" s="89">
        <v>45957</v>
      </c>
      <c r="F16" s="90" t="s">
        <v>125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 t="str">
        <f t="shared" si="0"/>
        <v>Usina 211/2025</v>
      </c>
      <c r="B17" s="56" t="s">
        <v>53</v>
      </c>
      <c r="C17" s="61">
        <v>3023594470</v>
      </c>
      <c r="D17" s="88">
        <v>15839</v>
      </c>
      <c r="E17" s="89">
        <v>45987</v>
      </c>
      <c r="F17" s="90" t="s">
        <v>26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 t="str">
        <f t="shared" si="0"/>
        <v>Usina 212/2025</v>
      </c>
      <c r="B18" s="56" t="s">
        <v>53</v>
      </c>
      <c r="C18" s="61">
        <v>3023594470</v>
      </c>
      <c r="D18" s="88">
        <v>13792</v>
      </c>
      <c r="E18" s="89">
        <v>46018</v>
      </c>
      <c r="F18" s="90" t="s">
        <v>143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 t="str">
        <f t="shared" ref="A19" si="3">B19&amp;F19</f>
        <v>Usina 201/2026</v>
      </c>
      <c r="B19" s="56" t="s">
        <v>53</v>
      </c>
      <c r="C19" s="61">
        <v>3023594470</v>
      </c>
      <c r="D19" s="88">
        <v>13974</v>
      </c>
      <c r="E19" s="89">
        <v>46049</v>
      </c>
      <c r="F19" s="90" t="s">
        <v>286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 t="str">
        <f t="shared" si="0"/>
        <v/>
      </c>
      <c r="B20" s="41"/>
      <c r="C20" s="41"/>
      <c r="D20" s="41"/>
      <c r="E20" s="41"/>
      <c r="F20" s="4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 t="str">
        <f t="shared" si="0"/>
        <v>Usina 307/2025</v>
      </c>
      <c r="B21" s="56" t="s">
        <v>57</v>
      </c>
      <c r="C21" s="56">
        <v>3023637013</v>
      </c>
      <c r="D21" s="88">
        <v>12794</v>
      </c>
      <c r="E21" s="89">
        <v>45867</v>
      </c>
      <c r="F21" s="90" t="s">
        <v>122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 t="str">
        <f t="shared" si="0"/>
        <v>Usina 308/2025</v>
      </c>
      <c r="B22" s="56" t="s">
        <v>57</v>
      </c>
      <c r="C22" s="56">
        <v>3023637013</v>
      </c>
      <c r="D22" s="88">
        <v>16329</v>
      </c>
      <c r="E22" s="89">
        <v>45898</v>
      </c>
      <c r="F22" s="90" t="s">
        <v>123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 t="str">
        <f t="shared" si="0"/>
        <v>Usina 309/2025</v>
      </c>
      <c r="B23" s="56" t="s">
        <v>57</v>
      </c>
      <c r="C23" s="56">
        <v>3023637013</v>
      </c>
      <c r="D23" s="88">
        <v>16338</v>
      </c>
      <c r="E23" s="89">
        <v>45929</v>
      </c>
      <c r="F23" s="90" t="s">
        <v>124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 t="str">
        <f t="shared" si="0"/>
        <v>Usina 310/2025</v>
      </c>
      <c r="B24" s="56" t="s">
        <v>57</v>
      </c>
      <c r="C24" s="56">
        <v>3023637013</v>
      </c>
      <c r="D24" s="88">
        <v>17371</v>
      </c>
      <c r="E24" s="89">
        <v>45959</v>
      </c>
      <c r="F24" s="90" t="s">
        <v>125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 t="str">
        <f t="shared" ref="A25" si="4">B25&amp;F25</f>
        <v>Usina 311/2025</v>
      </c>
      <c r="B25" s="56" t="s">
        <v>57</v>
      </c>
      <c r="C25" s="56">
        <v>3023637013</v>
      </c>
      <c r="D25" s="88">
        <v>15708</v>
      </c>
      <c r="E25" s="89">
        <v>45989</v>
      </c>
      <c r="F25" s="90" t="s">
        <v>26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 t="str">
        <f t="shared" si="0"/>
        <v>Usina 312/2025</v>
      </c>
      <c r="B26" s="56" t="s">
        <v>57</v>
      </c>
      <c r="C26" s="56">
        <v>3023637013</v>
      </c>
      <c r="D26" s="88">
        <v>14276</v>
      </c>
      <c r="E26" s="89">
        <v>46021</v>
      </c>
      <c r="F26" s="90" t="s">
        <v>143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 t="str">
        <f t="shared" ref="A27" si="5">B27&amp;F27</f>
        <v>Usina 301/2026</v>
      </c>
      <c r="B27" s="56" t="s">
        <v>57</v>
      </c>
      <c r="C27" s="56">
        <v>3023637013</v>
      </c>
      <c r="D27" s="88">
        <v>13888</v>
      </c>
      <c r="E27" s="89">
        <v>46051</v>
      </c>
      <c r="F27" s="90" t="s">
        <v>286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6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6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6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6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6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6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6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6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6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6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6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6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6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6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6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6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6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6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6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6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6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6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6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6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6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6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6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6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6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6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6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6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6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6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6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6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6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6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6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6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6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6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6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6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6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6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6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6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6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6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6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6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6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6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6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6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6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6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6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6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6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6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6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6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6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6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6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6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6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6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6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6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6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6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6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6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6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6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6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6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6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6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6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6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6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6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6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6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6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6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6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6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6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6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6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6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6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6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6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6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6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6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6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6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6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6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6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6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6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6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6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6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6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6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6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6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6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6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6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6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6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6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6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6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6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6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6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6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6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6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6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6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6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6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6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6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6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6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6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6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6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6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6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6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6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6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6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6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6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6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6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6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6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6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6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6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6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6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6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6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6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6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6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6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6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6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6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6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6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6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6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6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6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6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6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6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6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6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6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6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6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6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6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6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6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6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6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6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6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6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6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6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6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6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6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6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6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6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6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6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6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6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6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6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6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6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6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6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6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6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6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6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6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6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6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6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6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6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6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6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6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6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6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6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6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6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6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6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6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6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6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6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6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6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6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6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6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6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6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6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6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6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6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6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6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6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6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6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6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6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6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6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6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6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6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6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6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6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6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6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6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6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6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6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6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6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6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6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6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6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6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6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6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6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6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6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6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6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6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6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6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6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6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6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6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6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6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6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6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6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6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6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6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6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6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6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6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6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6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6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6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6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6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6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6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6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6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6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6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6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6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6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6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6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6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6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6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6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6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6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6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6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6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6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6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6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6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6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6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6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6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6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6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6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6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6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6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6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6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6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6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6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6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6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6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6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6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6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6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6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6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6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6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6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6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6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6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6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6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6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6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6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6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6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6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6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6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6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6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6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6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6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6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6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6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6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6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6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6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6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6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6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6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6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6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6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6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6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6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6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6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6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6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6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6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6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6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6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6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6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6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6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6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6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6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6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6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6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6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6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6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6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6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6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6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6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6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6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6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6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6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6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6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6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6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6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6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6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6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6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6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6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6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6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6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6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6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6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6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6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6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6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6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6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6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6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6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6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6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6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6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6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6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6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6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6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6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6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6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6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6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6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6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6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6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6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6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6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6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6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6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6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6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6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6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6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6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6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6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6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6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6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6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6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6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6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6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6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6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6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6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6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6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6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6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6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6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6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6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6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6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6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6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6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6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6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6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6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6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6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6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6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6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6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6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6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6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6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6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6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6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6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6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6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6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6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6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6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6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6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6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6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6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6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6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6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6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6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6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6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6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6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6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6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6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6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6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6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6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6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6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6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6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6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6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6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6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6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6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6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6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6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6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6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6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6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6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6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6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6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6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6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6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6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6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6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6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6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6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6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6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6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6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6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6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6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6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6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6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6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6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6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6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6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6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6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6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6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6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6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6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6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6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6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6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6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6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6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6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6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6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6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6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6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6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6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6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6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6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6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6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6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6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6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6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6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6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6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6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6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6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6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6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6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6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6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6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6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6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6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6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6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6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6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6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6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6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6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6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6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6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6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6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6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6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6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6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6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6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6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6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6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6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6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6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6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6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6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6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6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6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6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6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6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6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6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6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6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6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6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6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6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6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6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6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6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6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6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6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6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6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6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6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6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6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6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6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6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6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6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6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6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6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6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6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6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6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6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6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6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6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6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6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6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6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6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6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6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6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6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6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6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6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6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6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6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6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6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6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6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6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6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6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6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6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6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6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6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6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6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6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6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6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6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6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6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6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6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6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6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6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6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6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6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6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6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6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6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6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6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6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6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6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6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6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6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6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6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6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6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6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6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6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6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6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6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6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6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6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6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6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6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6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6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6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6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6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6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6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6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6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6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6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6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6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6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6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6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6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6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6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6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6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6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6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6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6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6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6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6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6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6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6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6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6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6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6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6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6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6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6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6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6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6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6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6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6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6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6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6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6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6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6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6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6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6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6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6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6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6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6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6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6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6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6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6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6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6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6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6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6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6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6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6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6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6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6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6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6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6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6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6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6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6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6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6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6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6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6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6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6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6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6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6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6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6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6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6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6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6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6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6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6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6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6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6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6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6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6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6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6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6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6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6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6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6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6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6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6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6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6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6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6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6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6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6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6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6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6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6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6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6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6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6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6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6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6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6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6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6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6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6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6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6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6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6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6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6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6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6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6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6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6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6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6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6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6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6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6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6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6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6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6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6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6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6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6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6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6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6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6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6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6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6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6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6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6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6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6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6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6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6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6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6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6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6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6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6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6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6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6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6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68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4.25" customHeight="1">
      <c r="A1001" s="4"/>
      <c r="B1001" s="4"/>
      <c r="C1001" s="4"/>
      <c r="D1001" s="68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4.25" customHeight="1">
      <c r="A1002" s="4"/>
      <c r="B1002" s="4"/>
      <c r="C1002" s="4"/>
      <c r="D1002" s="68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4.25" customHeight="1">
      <c r="A1003" s="4"/>
      <c r="B1003" s="4"/>
      <c r="C1003" s="4"/>
      <c r="D1003" s="68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4.25" customHeight="1">
      <c r="A1004" s="4"/>
      <c r="B1004" s="4"/>
      <c r="C1004" s="4"/>
      <c r="D1004" s="68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4.25" customHeight="1">
      <c r="A1005" s="4"/>
      <c r="B1005" s="4"/>
      <c r="C1005" s="4"/>
      <c r="D1005" s="68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phoneticPr fontId="35" type="noConversion"/>
  <pageMargins left="0.511811024" right="0.511811024" top="0.78740157499999996" bottom="0.78740157499999996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C1029"/>
  <sheetViews>
    <sheetView workbookViewId="0">
      <pane xSplit="7" ySplit="4" topLeftCell="H9" activePane="bottomRight" state="frozen"/>
      <selection pane="topRight" activeCell="H1" sqref="H1"/>
      <selection pane="bottomLeft" activeCell="A5" sqref="A5"/>
      <selection pane="bottomRight" activeCell="H18" sqref="H18"/>
    </sheetView>
  </sheetViews>
  <sheetFormatPr defaultColWidth="14.42578125" defaultRowHeight="15" customHeight="1" outlineLevelCol="1"/>
  <cols>
    <col min="1" max="1" width="2.42578125" customWidth="1"/>
    <col min="2" max="2" width="16" hidden="1" customWidth="1" outlineLevel="1"/>
    <col min="3" max="3" width="8.85546875" customWidth="1" collapsed="1"/>
    <col min="4" max="4" width="10.85546875" customWidth="1"/>
    <col min="5" max="5" width="8.42578125" customWidth="1"/>
    <col min="6" max="6" width="26.5703125" customWidth="1"/>
    <col min="7" max="7" width="10.85546875" customWidth="1"/>
    <col min="8" max="8" width="11.85546875" customWidth="1"/>
    <col min="9" max="9" width="9.5703125" customWidth="1"/>
    <col min="10" max="10" width="10.140625" customWidth="1"/>
    <col min="11" max="11" width="11.140625" customWidth="1"/>
    <col min="12" max="12" width="12.140625" customWidth="1"/>
    <col min="13" max="13" width="10.85546875" customWidth="1"/>
    <col min="14" max="14" width="8.85546875" customWidth="1"/>
    <col min="15" max="16" width="9.140625" customWidth="1"/>
    <col min="17" max="17" width="8.85546875" customWidth="1"/>
    <col min="18" max="18" width="9.42578125" customWidth="1"/>
    <col min="19" max="19" width="10.140625" customWidth="1"/>
    <col min="20" max="20" width="8.85546875" customWidth="1"/>
    <col min="21" max="21" width="9.140625" customWidth="1"/>
    <col min="22" max="22" width="9.85546875" customWidth="1"/>
    <col min="23" max="23" width="12.85546875" customWidth="1"/>
    <col min="24" max="24" width="12" customWidth="1"/>
    <col min="25" max="25" width="11.42578125" customWidth="1"/>
    <col min="26" max="26" width="10.85546875" customWidth="1"/>
  </cols>
  <sheetData>
    <row r="1" spans="1:29" ht="14.25" customHeight="1">
      <c r="A1" s="4"/>
      <c r="B1" s="68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9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12</v>
      </c>
    </row>
    <row r="2" spans="1:29" ht="14.25" customHeight="1" thickBot="1">
      <c r="A2" s="4"/>
      <c r="B2" s="4"/>
      <c r="C2" s="51" t="s">
        <v>126</v>
      </c>
      <c r="D2" s="4"/>
      <c r="E2" s="68"/>
      <c r="F2" s="4"/>
      <c r="G2" s="4"/>
      <c r="H2" s="4"/>
      <c r="I2" s="4"/>
      <c r="J2" s="4"/>
      <c r="K2" s="4"/>
      <c r="L2" s="4"/>
      <c r="M2" s="4"/>
      <c r="N2" s="9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9" ht="14.25" customHeight="1">
      <c r="A3" s="4"/>
      <c r="B3" s="4"/>
      <c r="C3" s="4"/>
      <c r="D3" s="4"/>
      <c r="E3" s="68"/>
      <c r="F3" s="4"/>
      <c r="G3" s="4"/>
      <c r="H3" s="4"/>
      <c r="I3" s="4"/>
      <c r="J3" s="4"/>
      <c r="K3" s="4"/>
      <c r="L3" s="4"/>
      <c r="M3" s="286" t="s">
        <v>127</v>
      </c>
      <c r="N3" s="287"/>
      <c r="O3" s="288"/>
      <c r="P3" s="289" t="s">
        <v>128</v>
      </c>
      <c r="Q3" s="287"/>
      <c r="R3" s="288"/>
      <c r="S3" s="95" t="s">
        <v>287</v>
      </c>
      <c r="T3" s="95" t="s">
        <v>130</v>
      </c>
      <c r="U3" s="95"/>
      <c r="V3" s="95"/>
      <c r="W3" s="95"/>
      <c r="X3" s="96" t="s">
        <v>131</v>
      </c>
      <c r="Y3" s="4" t="s">
        <v>132</v>
      </c>
      <c r="Z3" s="4"/>
    </row>
    <row r="4" spans="1:29" ht="29.25" customHeight="1">
      <c r="A4" s="54"/>
      <c r="B4" s="54"/>
      <c r="C4" s="97" t="s">
        <v>35</v>
      </c>
      <c r="D4" s="97" t="s">
        <v>36</v>
      </c>
      <c r="E4" s="97" t="s">
        <v>35</v>
      </c>
      <c r="F4" s="97" t="s">
        <v>133</v>
      </c>
      <c r="G4" s="97" t="s">
        <v>36</v>
      </c>
      <c r="H4" s="97" t="s">
        <v>134</v>
      </c>
      <c r="I4" s="97" t="s">
        <v>66</v>
      </c>
      <c r="J4" s="97" t="s">
        <v>121</v>
      </c>
      <c r="K4" s="98" t="s">
        <v>120</v>
      </c>
      <c r="L4" s="98" t="s">
        <v>135</v>
      </c>
      <c r="M4" s="99" t="s">
        <v>136</v>
      </c>
      <c r="N4" s="100" t="s">
        <v>137</v>
      </c>
      <c r="O4" s="101" t="s">
        <v>138</v>
      </c>
      <c r="P4" s="102" t="s">
        <v>136</v>
      </c>
      <c r="Q4" s="103" t="s">
        <v>137</v>
      </c>
      <c r="R4" s="104" t="s">
        <v>138</v>
      </c>
      <c r="S4" s="105" t="s">
        <v>138</v>
      </c>
      <c r="T4" s="105" t="s">
        <v>139</v>
      </c>
      <c r="U4" s="105" t="s">
        <v>140</v>
      </c>
      <c r="V4" s="105" t="s">
        <v>141</v>
      </c>
      <c r="W4" s="105" t="s">
        <v>142</v>
      </c>
      <c r="X4" s="278" t="s">
        <v>297</v>
      </c>
      <c r="Y4" s="54"/>
      <c r="Z4" s="99" t="s">
        <v>317</v>
      </c>
      <c r="AB4" t="s">
        <v>290</v>
      </c>
      <c r="AC4" t="s">
        <v>291</v>
      </c>
    </row>
    <row r="5" spans="1:29" ht="6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06"/>
      <c r="P5" s="4"/>
      <c r="Q5" s="4"/>
      <c r="R5" s="106"/>
      <c r="S5" s="4"/>
      <c r="T5" s="4"/>
      <c r="U5" s="107"/>
      <c r="V5" s="107"/>
      <c r="W5" s="107"/>
      <c r="X5" s="106"/>
      <c r="Y5" s="4"/>
      <c r="Z5" s="4"/>
    </row>
    <row r="6" spans="1:29" ht="14.25" customHeight="1">
      <c r="A6" s="270" t="s">
        <v>284</v>
      </c>
      <c r="B6" s="4" t="str">
        <f t="shared" ref="B6:B20" si="0">E6&amp;J6</f>
        <v>3.102/2026</v>
      </c>
      <c r="C6" s="108" t="s">
        <v>57</v>
      </c>
      <c r="D6" s="56">
        <f>VLOOKUP(C6,Cad.Usinas!$A$4:$B$6,2,FALSE)</f>
        <v>3023637013</v>
      </c>
      <c r="E6" s="109" t="s">
        <v>70</v>
      </c>
      <c r="F6" s="33" t="str">
        <f>VLOOKUP(E6,Cad.RateioConsumo!$B$4:$Q$77,2,FALSE)</f>
        <v>Associação dos Moradores do Residencial Araçagy</v>
      </c>
      <c r="G6" s="56">
        <f>VLOOKUP(E6,Cad.RateioConsumo!$B$4:$Q$9,5,FALSE)</f>
        <v>3021142432</v>
      </c>
      <c r="H6" s="111">
        <f>VLOOKUP(E6,Cad.RateioConsumo!$B$4:$Q$9,7,FALSE)</f>
        <v>205.36363636363637</v>
      </c>
      <c r="I6" s="86">
        <f>VLOOKUP(E6,Cad.RateioConsumo!$B$4:$Q$9,11,FALSE)</f>
        <v>1.47E-2</v>
      </c>
      <c r="J6" s="112" t="s">
        <v>298</v>
      </c>
      <c r="K6" s="123">
        <v>46057</v>
      </c>
      <c r="L6" s="123">
        <v>46077</v>
      </c>
      <c r="M6" s="114">
        <v>100</v>
      </c>
      <c r="N6" s="115">
        <v>1.1284000000000001</v>
      </c>
      <c r="O6" s="116">
        <f t="shared" ref="O6:O20" si="1">M6*N6</f>
        <v>112.84</v>
      </c>
      <c r="P6" s="114">
        <v>108.87</v>
      </c>
      <c r="Q6" s="117">
        <f t="shared" ref="Q6:Q20" si="2">N6</f>
        <v>1.1284000000000001</v>
      </c>
      <c r="R6" s="116">
        <f t="shared" ref="R6:R20" si="3">P6*Q6</f>
        <v>122.84890800000001</v>
      </c>
      <c r="S6" s="118"/>
      <c r="T6" s="119">
        <v>0.23</v>
      </c>
      <c r="U6" s="120">
        <v>5.2880000000000002E-3</v>
      </c>
      <c r="V6" s="120">
        <v>2.4410000000000001E-2</v>
      </c>
      <c r="W6" s="121">
        <f t="shared" ref="W6" si="4">ROUND(0.84318/((1-U6-V6)*(1-T6)),4)</f>
        <v>1.1286</v>
      </c>
      <c r="X6" s="122"/>
      <c r="Y6" s="4"/>
      <c r="Z6" s="114">
        <v>366.56</v>
      </c>
      <c r="AB6" t="str">
        <f>VLOOKUP(E6,Cad.RateioConsumo!$B$4:$Q$9,4,FALSE)</f>
        <v>20.069.500/0001-97</v>
      </c>
      <c r="AC6" s="273">
        <f>VLOOKUP(E6,Cad.RateioConsumo!$B$4:$U$9,20,FALSE)</f>
        <v>0</v>
      </c>
    </row>
    <row r="7" spans="1:29" ht="14.25" customHeight="1">
      <c r="A7" s="270" t="s">
        <v>284</v>
      </c>
      <c r="B7" s="4" t="str">
        <f t="shared" si="0"/>
        <v>3.202/2026</v>
      </c>
      <c r="C7" s="108" t="s">
        <v>57</v>
      </c>
      <c r="D7" s="56">
        <f>VLOOKUP(C7,Cad.Usinas!$A$4:$B$6,2,FALSE)</f>
        <v>3023637013</v>
      </c>
      <c r="E7" s="109" t="s">
        <v>75</v>
      </c>
      <c r="F7" s="33" t="str">
        <f>VLOOKUP(E7,Cad.RateioConsumo!$B$4:$Q$77,2,FALSE)</f>
        <v>Associação dos Moradores do Residencial Araçagy</v>
      </c>
      <c r="G7" s="56">
        <f>VLOOKUP(E7,Cad.RateioConsumo!$B$4:$Q$9,5,FALSE)</f>
        <v>3021149593</v>
      </c>
      <c r="H7" s="111">
        <f>VLOOKUP(E7,Cad.RateioConsumo!$B$4:$Q$9,7,FALSE)</f>
        <v>734.33333333333337</v>
      </c>
      <c r="I7" s="86">
        <f>VLOOKUP(E7,Cad.RateioConsumo!$B$4:$Q$9,11,FALSE)</f>
        <v>5.2499999999999998E-2</v>
      </c>
      <c r="J7" s="112" t="s">
        <v>298</v>
      </c>
      <c r="K7" s="123">
        <v>46057</v>
      </c>
      <c r="L7" s="123">
        <v>46077</v>
      </c>
      <c r="M7" s="114">
        <v>219.41</v>
      </c>
      <c r="N7" s="115">
        <v>1.1285719999999999</v>
      </c>
      <c r="O7" s="116">
        <f t="shared" si="1"/>
        <v>247.61998251999998</v>
      </c>
      <c r="P7" s="114">
        <v>818.35</v>
      </c>
      <c r="Q7" s="117">
        <f t="shared" si="2"/>
        <v>1.1285719999999999</v>
      </c>
      <c r="R7" s="116">
        <f t="shared" si="3"/>
        <v>923.56689619999997</v>
      </c>
      <c r="S7" s="118"/>
      <c r="T7" s="119">
        <v>0.23</v>
      </c>
      <c r="U7" s="120">
        <v>5.2880000000000002E-3</v>
      </c>
      <c r="V7" s="120">
        <v>2.4410000000000001E-2</v>
      </c>
      <c r="W7" s="121">
        <f>ROUND(0.84318/ROUND(((1-U7-V7)*(1-T7)),4),4)</f>
        <v>1.1286</v>
      </c>
      <c r="X7" s="122"/>
      <c r="Y7" s="4"/>
      <c r="Z7" s="114"/>
      <c r="AB7" t="str">
        <f>VLOOKUP(E7,Cad.RateioConsumo!$B$4:$Q$9,4,FALSE)</f>
        <v>20.069.500/0001-97</v>
      </c>
      <c r="AC7" s="273">
        <f>VLOOKUP(E7,Cad.RateioConsumo!$B$4:$U$9,20,FALSE)</f>
        <v>0</v>
      </c>
    </row>
    <row r="8" spans="1:29" ht="14.25" customHeight="1">
      <c r="A8" s="270" t="s">
        <v>284</v>
      </c>
      <c r="B8" s="4" t="str">
        <f t="shared" si="0"/>
        <v>3.302/2026</v>
      </c>
      <c r="C8" s="108" t="s">
        <v>57</v>
      </c>
      <c r="D8" s="56">
        <f>VLOOKUP(C8,Cad.Usinas!$A$4:$B$6,2,FALSE)</f>
        <v>3023637013</v>
      </c>
      <c r="E8" s="109" t="s">
        <v>77</v>
      </c>
      <c r="F8" s="33" t="str">
        <f>VLOOKUP(E8,Cad.RateioConsumo!$B$4:$Q$77,2,FALSE)</f>
        <v>Associação dos Moradores do Residencial Araçagy</v>
      </c>
      <c r="G8" s="56">
        <f>VLOOKUP(E8,Cad.RateioConsumo!$B$4:$Q$9,5,FALSE)</f>
        <v>3021150559</v>
      </c>
      <c r="H8" s="111">
        <f>VLOOKUP(E8,Cad.RateioConsumo!$B$4:$Q$9,7,FALSE)</f>
        <v>2086.4545454545455</v>
      </c>
      <c r="I8" s="86">
        <f>VLOOKUP(E8,Cad.RateioConsumo!$B$4:$Q$9,11,FALSE)</f>
        <v>0.107</v>
      </c>
      <c r="J8" s="112" t="s">
        <v>298</v>
      </c>
      <c r="K8" s="123">
        <v>46057</v>
      </c>
      <c r="L8" s="123">
        <v>46077</v>
      </c>
      <c r="M8" s="114">
        <v>309.27</v>
      </c>
      <c r="N8" s="115">
        <v>1.1283110000000001</v>
      </c>
      <c r="O8" s="116">
        <f t="shared" si="1"/>
        <v>348.95274296999997</v>
      </c>
      <c r="P8" s="114">
        <v>1487.4</v>
      </c>
      <c r="Q8" s="117">
        <f t="shared" si="2"/>
        <v>1.1283110000000001</v>
      </c>
      <c r="R8" s="116">
        <f t="shared" si="3"/>
        <v>1678.2497814000003</v>
      </c>
      <c r="S8" s="118"/>
      <c r="T8" s="119">
        <v>0.23</v>
      </c>
      <c r="U8" s="120">
        <v>5.2880000000000002E-3</v>
      </c>
      <c r="V8" s="120">
        <v>2.4410000000000001E-2</v>
      </c>
      <c r="W8" s="121">
        <f>ROUND(0.84318/((1-U8-V8)*(1-T8)),4)</f>
        <v>1.1286</v>
      </c>
      <c r="X8" s="122"/>
      <c r="Y8" s="4"/>
      <c r="Z8" s="114"/>
      <c r="AB8" t="str">
        <f>VLOOKUP(E8,Cad.RateioConsumo!$B$4:$Q$9,4,FALSE)</f>
        <v>20.069.500/0001-97</v>
      </c>
      <c r="AC8" s="273">
        <f>VLOOKUP(E8,Cad.RateioConsumo!$B$4:$U$9,20,FALSE)</f>
        <v>0</v>
      </c>
    </row>
    <row r="9" spans="1:29" ht="14.25" customHeight="1">
      <c r="A9" s="270" t="s">
        <v>284</v>
      </c>
      <c r="B9" s="4" t="str">
        <f t="shared" si="0"/>
        <v>3.402/2026</v>
      </c>
      <c r="C9" s="108" t="s">
        <v>57</v>
      </c>
      <c r="D9" s="56">
        <f>VLOOKUP(C9,Cad.Usinas!$A$4:$B$6,2,FALSE)</f>
        <v>3023637013</v>
      </c>
      <c r="E9" s="109" t="s">
        <v>82</v>
      </c>
      <c r="F9" s="33" t="str">
        <f>VLOOKUP(E9,Cad.RateioConsumo!$B$4:$Q$77,2,FALSE)</f>
        <v>Antonio Jose Souza Filho</v>
      </c>
      <c r="G9" s="56">
        <f>VLOOKUP(E9,Cad.RateioConsumo!$B$4:$Q$9,5,FALSE)</f>
        <v>3007625048</v>
      </c>
      <c r="H9" s="111">
        <f>VLOOKUP(E9,Cad.RateioConsumo!$B$4:$Q$9,7,FALSE)</f>
        <v>417.15384615384613</v>
      </c>
      <c r="I9" s="86">
        <f>VLOOKUP(E9,Cad.RateioConsumo!$B$4:$Q$9,11,FALSE)</f>
        <v>2.98E-2</v>
      </c>
      <c r="J9" s="112" t="s">
        <v>298</v>
      </c>
      <c r="K9" s="123">
        <v>46058</v>
      </c>
      <c r="L9" s="123">
        <v>46077</v>
      </c>
      <c r="M9" s="114">
        <v>79.13</v>
      </c>
      <c r="N9" s="115">
        <v>1.128396</v>
      </c>
      <c r="O9" s="116">
        <f t="shared" si="1"/>
        <v>89.289975479999995</v>
      </c>
      <c r="P9" s="114">
        <v>413.86</v>
      </c>
      <c r="Q9" s="117">
        <f t="shared" si="2"/>
        <v>1.128396</v>
      </c>
      <c r="R9" s="116">
        <f t="shared" si="3"/>
        <v>466.99796856</v>
      </c>
      <c r="S9" s="118"/>
      <c r="T9" s="119">
        <v>0.23</v>
      </c>
      <c r="U9" s="120">
        <v>5.2880000000000002E-3</v>
      </c>
      <c r="V9" s="120">
        <v>2.4410000000000001E-2</v>
      </c>
      <c r="W9" s="121">
        <f t="shared" ref="W9:W20" si="5">ROUND(0.84318/((1-U9-V9)*(1-T9)),4)</f>
        <v>1.1286</v>
      </c>
      <c r="X9" s="122"/>
      <c r="Y9" s="4"/>
      <c r="Z9" s="114"/>
      <c r="AB9" t="str">
        <f>VLOOKUP(E9,Cad.RateioConsumo!$B$4:$Q$9,4,FALSE)</f>
        <v>682.957.583-49</v>
      </c>
      <c r="AC9" s="273">
        <f>VLOOKUP(E9,Cad.RateioConsumo!$B$4:$U$9,20,FALSE)</f>
        <v>28283</v>
      </c>
    </row>
    <row r="10" spans="1:29" ht="14.25" customHeight="1">
      <c r="A10" s="270" t="s">
        <v>284</v>
      </c>
      <c r="B10" s="4" t="str">
        <f t="shared" si="0"/>
        <v>3.501/2026</v>
      </c>
      <c r="C10" s="108" t="s">
        <v>57</v>
      </c>
      <c r="D10" s="56">
        <f>VLOOKUP(C10,Cad.Usinas!$A$4:$B$6,2,FALSE)</f>
        <v>3023637013</v>
      </c>
      <c r="E10" s="109" t="s">
        <v>87</v>
      </c>
      <c r="F10" s="33" t="str">
        <f>VLOOKUP(E10,Cad.RateioConsumo!$B$4:$Q$77,2,FALSE)</f>
        <v>João Carlos Pereira Dutra Filho</v>
      </c>
      <c r="G10" s="56">
        <f>VLOOKUP(E10,Cad.RateioConsumo!$B$4:$Q$9,5,FALSE)</f>
        <v>1163310</v>
      </c>
      <c r="H10" s="111">
        <f>VLOOKUP(E10,Cad.RateioConsumo!$B$4:$Q$9,7,FALSE)</f>
        <v>848.69230769230774</v>
      </c>
      <c r="I10" s="86">
        <f>VLOOKUP(E10,Cad.RateioConsumo!$B$4:$Q$9,11,FALSE)</f>
        <v>6.0600000000000001E-2</v>
      </c>
      <c r="J10" s="112" t="s">
        <v>286</v>
      </c>
      <c r="K10" s="123">
        <v>46051</v>
      </c>
      <c r="L10" s="123">
        <v>46059</v>
      </c>
      <c r="M10" s="114">
        <v>30</v>
      </c>
      <c r="N10" s="115">
        <v>1.127667</v>
      </c>
      <c r="O10" s="116">
        <f t="shared" si="1"/>
        <v>33.830010000000001</v>
      </c>
      <c r="P10" s="114">
        <v>937</v>
      </c>
      <c r="Q10" s="117">
        <f t="shared" si="2"/>
        <v>1.127667</v>
      </c>
      <c r="R10" s="116">
        <f t="shared" si="3"/>
        <v>1056.623979</v>
      </c>
      <c r="S10" s="118"/>
      <c r="T10" s="119">
        <v>0.23</v>
      </c>
      <c r="U10" s="120">
        <v>5.2880000000000002E-3</v>
      </c>
      <c r="V10" s="120">
        <v>2.4410000000000001E-2</v>
      </c>
      <c r="W10" s="121">
        <f t="shared" si="5"/>
        <v>1.1286</v>
      </c>
      <c r="X10" s="128"/>
      <c r="Y10" s="4"/>
      <c r="Z10" s="114">
        <v>16.03</v>
      </c>
      <c r="AB10" t="str">
        <f>VLOOKUP(E10,Cad.RateioConsumo!$B$4:$Q$9,4,FALSE)</f>
        <v>064837473-49</v>
      </c>
      <c r="AC10" s="273">
        <f>VLOOKUP(E10,Cad.RateioConsumo!$B$4:$U$9,20,FALSE)</f>
        <v>19543</v>
      </c>
    </row>
    <row r="11" spans="1:29" ht="14.25" customHeight="1" thickBot="1">
      <c r="A11" s="270" t="s">
        <v>284</v>
      </c>
      <c r="B11" s="4" t="str">
        <f t="shared" si="0"/>
        <v>3.601/2026</v>
      </c>
      <c r="C11" s="108" t="s">
        <v>57</v>
      </c>
      <c r="D11" s="56">
        <f>VLOOKUP(C11,Cad.Usinas!$A$4:$B$6,2,FALSE)</f>
        <v>3023637013</v>
      </c>
      <c r="E11" s="109" t="s">
        <v>92</v>
      </c>
      <c r="F11" s="272" t="str">
        <f>VLOOKUP(E11,Cad.RateioConsumo!$B$4:$Q$77,2,FALSE)</f>
        <v>Patricia Maria Abreu Machado</v>
      </c>
      <c r="G11" s="56">
        <f>VLOOKUP(E11,Cad.RateioConsumo!$B$4:$Q$9,5,FALSE)</f>
        <v>3006793931</v>
      </c>
      <c r="H11" s="111">
        <f>VLOOKUP(E11,Cad.RateioConsumo!$B$4:$Q$9,7,FALSE)</f>
        <v>776.76923076923072</v>
      </c>
      <c r="I11" s="86">
        <f>VLOOKUP(E11,Cad.RateioConsumo!$B$4:$Q$9,11,FALSE)</f>
        <v>5.5500000000000001E-2</v>
      </c>
      <c r="J11" s="112" t="s">
        <v>286</v>
      </c>
      <c r="K11" s="123">
        <v>46050</v>
      </c>
      <c r="L11" s="123">
        <v>46057</v>
      </c>
      <c r="M11" s="114">
        <v>100</v>
      </c>
      <c r="N11" s="115">
        <v>1.1282000000000001</v>
      </c>
      <c r="O11" s="116">
        <f t="shared" si="1"/>
        <v>112.82000000000001</v>
      </c>
      <c r="P11" s="114">
        <v>713</v>
      </c>
      <c r="Q11" s="117">
        <f t="shared" si="2"/>
        <v>1.1282000000000001</v>
      </c>
      <c r="R11" s="116">
        <f t="shared" si="3"/>
        <v>804.40660000000003</v>
      </c>
      <c r="S11" s="118"/>
      <c r="T11" s="119">
        <v>0.23</v>
      </c>
      <c r="U11" s="120">
        <v>5.2880000000000002E-3</v>
      </c>
      <c r="V11" s="120">
        <v>2.4410000000000001E-2</v>
      </c>
      <c r="W11" s="121">
        <f t="shared" si="5"/>
        <v>1.1286</v>
      </c>
      <c r="X11" s="255"/>
      <c r="Y11" s="256">
        <f>W11-N11</f>
        <v>3.9999999999995595E-4</v>
      </c>
      <c r="Z11" s="114"/>
      <c r="AB11" t="str">
        <f>VLOOKUP(E11,Cad.RateioConsumo!$B$4:$Q$9,4,FALSE)</f>
        <v>676.211.553-53</v>
      </c>
      <c r="AC11" s="273">
        <f>VLOOKUP(E11,Cad.RateioConsumo!$B$4:$U$9,20,FALSE)</f>
        <v>27174</v>
      </c>
    </row>
    <row r="12" spans="1:29" ht="14.25" customHeight="1" thickBot="1">
      <c r="A12" s="270" t="s">
        <v>284</v>
      </c>
      <c r="B12" s="4" t="str">
        <f t="shared" si="0"/>
        <v>3.701/2026</v>
      </c>
      <c r="C12" s="108" t="s">
        <v>57</v>
      </c>
      <c r="D12" s="56">
        <f>VLOOKUP(C12,Cad.Usinas!$A$4:$B$6,2,FALSE)</f>
        <v>3023637013</v>
      </c>
      <c r="E12" s="109" t="s">
        <v>96</v>
      </c>
      <c r="F12" s="33" t="str">
        <f>VLOOKUP(E12,Cad.RateioConsumo!$B$4:$Q$77,2,FALSE)</f>
        <v>Fatima Abdel Hafiz Khalifa Cavalcanti</v>
      </c>
      <c r="G12" s="56">
        <f>VLOOKUP(E12,Cad.RateioConsumo!$B$4:$Q$22,5,FALSE)</f>
        <v>38398091</v>
      </c>
      <c r="H12" s="111">
        <f>VLOOKUP(E12,Cad.RateioConsumo!$B$4:$Q$22,7,FALSE)</f>
        <v>1013.3846153846154</v>
      </c>
      <c r="I12" s="86">
        <f>VLOOKUP(E12,Cad.RateioConsumo!$B$4:$Q$22,11,FALSE)</f>
        <v>7.2400000000000006E-2</v>
      </c>
      <c r="J12" s="112" t="s">
        <v>286</v>
      </c>
      <c r="K12" s="123">
        <v>46042</v>
      </c>
      <c r="L12" s="123">
        <v>46059</v>
      </c>
      <c r="M12" s="114">
        <v>169.15</v>
      </c>
      <c r="N12" s="115">
        <v>1.1283479999999999</v>
      </c>
      <c r="O12" s="116">
        <f t="shared" si="1"/>
        <v>190.86006419999998</v>
      </c>
      <c r="P12" s="114">
        <v>1074.8399999999999</v>
      </c>
      <c r="Q12" s="117">
        <f t="shared" si="2"/>
        <v>1.1283479999999999</v>
      </c>
      <c r="R12" s="116">
        <f t="shared" si="3"/>
        <v>1212.7935643199999</v>
      </c>
      <c r="S12" s="118"/>
      <c r="T12" s="119">
        <v>0.23</v>
      </c>
      <c r="U12" s="120">
        <v>5.2630000000000003E-3</v>
      </c>
      <c r="V12" s="120">
        <v>2.4274E-2</v>
      </c>
      <c r="W12" s="121">
        <f t="shared" si="5"/>
        <v>1.1284000000000001</v>
      </c>
      <c r="X12" s="252">
        <f>W12-Q12</f>
        <v>5.2000000000163027E-5</v>
      </c>
      <c r="Y12" s="4"/>
      <c r="Z12" s="114"/>
      <c r="AB12" t="str">
        <f>VLOOKUP(E12,Cad.RateioConsumo!$B$4:$Q$19,4,FALSE)</f>
        <v>840.670.553-15</v>
      </c>
      <c r="AC12" s="273">
        <f>VLOOKUP(E12,Cad.RateioConsumo!$B$4:$U$19,20,FALSE)</f>
        <v>29085</v>
      </c>
    </row>
    <row r="13" spans="1:29" ht="14.25" customHeight="1" thickBot="1">
      <c r="A13" s="270" t="s">
        <v>284</v>
      </c>
      <c r="B13" s="4" t="str">
        <f t="shared" ref="B13" si="6">E13&amp;J13</f>
        <v>3.801/2026</v>
      </c>
      <c r="C13" s="108" t="s">
        <v>57</v>
      </c>
      <c r="D13" s="56">
        <f>VLOOKUP(C13,Cad.Usinas!$A$4:$B$6,2,FALSE)</f>
        <v>3023637013</v>
      </c>
      <c r="E13" s="109" t="s">
        <v>268</v>
      </c>
      <c r="F13" s="285" t="str">
        <f>VLOOKUP(E13,Cad.RateioConsumo!$B$4:$Q$77,2,FALSE)</f>
        <v>Ana Maria Marques De Brito</v>
      </c>
      <c r="G13" s="56">
        <f>VLOOKUP(E13,Cad.RateioConsumo!$B$4:$Q$22,5,FALSE)</f>
        <v>3020257082</v>
      </c>
      <c r="H13" s="111">
        <f>VLOOKUP(E13,Cad.RateioConsumo!$B$4:$Q$22,7,FALSE)</f>
        <v>1193</v>
      </c>
      <c r="I13" s="86">
        <f>VLOOKUP(E13,Cad.RateioConsumo!$B$4:$Q$22,11,FALSE)</f>
        <v>8.5199999999999998E-2</v>
      </c>
      <c r="J13" s="112" t="s">
        <v>286</v>
      </c>
      <c r="K13" s="123">
        <v>46051</v>
      </c>
      <c r="L13" s="123">
        <v>46064</v>
      </c>
      <c r="M13" s="114">
        <v>1225</v>
      </c>
      <c r="N13" s="115">
        <v>1.1283430000000001</v>
      </c>
      <c r="O13" s="116">
        <f t="shared" ref="O13" si="7">M13*N13</f>
        <v>1382.2201750000002</v>
      </c>
      <c r="P13" s="114">
        <v>0</v>
      </c>
      <c r="Q13" s="117">
        <f t="shared" ref="Q13" si="8">N13</f>
        <v>1.1283430000000001</v>
      </c>
      <c r="R13" s="116">
        <f t="shared" ref="R13" si="9">P13*Q13</f>
        <v>0</v>
      </c>
      <c r="S13" s="118"/>
      <c r="T13" s="119">
        <v>0.23</v>
      </c>
      <c r="U13" s="120">
        <v>5.2630000000000003E-3</v>
      </c>
      <c r="V13" s="120">
        <v>2.4274E-2</v>
      </c>
      <c r="W13" s="121">
        <f t="shared" ref="W13" si="10">ROUND(0.84318/((1-U13-V13)*(1-T13)),4)</f>
        <v>1.1284000000000001</v>
      </c>
      <c r="X13" s="252">
        <f>W13-Q13</f>
        <v>5.6999999999973738E-5</v>
      </c>
      <c r="Y13" s="4"/>
      <c r="Z13" s="114"/>
      <c r="AB13" t="str">
        <f>VLOOKUP(E13,Cad.RateioConsumo!$B$4:$Q$19,4,FALSE)</f>
        <v>920.517.663-04</v>
      </c>
      <c r="AC13" s="273">
        <f>VLOOKUP(E13,Cad.RateioConsumo!$B$4:$U$19,20,FALSE)</f>
        <v>29585</v>
      </c>
    </row>
    <row r="14" spans="1:29" ht="14.25" customHeight="1" thickBot="1">
      <c r="A14" s="4"/>
      <c r="B14" s="4" t="str">
        <f t="shared" si="0"/>
        <v>3.002/2026</v>
      </c>
      <c r="C14" s="108" t="s">
        <v>57</v>
      </c>
      <c r="D14" s="56">
        <f>VLOOKUP(C14,Cad.Usinas!$A$4:$B$6,2,FALSE)</f>
        <v>3023637013</v>
      </c>
      <c r="E14" s="109" t="s">
        <v>101</v>
      </c>
      <c r="F14" s="33" t="str">
        <f>VLOOKUP(E14,Cad.RateioConsumo!$B$4:$Q$77,2,FALSE)</f>
        <v>Usina 3</v>
      </c>
      <c r="G14" s="56">
        <f>VLOOKUP(E14,Cad.RateioConsumo!$B$4:$Q$77,5,FALSE)</f>
        <v>3023637013</v>
      </c>
      <c r="H14" s="111">
        <f>VLOOKUP(E14,Cad.RateioConsumo!$B$4:$Q$77,7,FALSE)</f>
        <v>8931.2331002331011</v>
      </c>
      <c r="I14" s="86">
        <f>VLOOKUP(E14,Cad.RateioConsumo!$B$4:$Q$77,11,FALSE)</f>
        <v>0.67989999999999995</v>
      </c>
      <c r="J14" s="112" t="s">
        <v>298</v>
      </c>
      <c r="K14" s="123"/>
      <c r="L14" s="123"/>
      <c r="M14" s="114"/>
      <c r="N14" s="115"/>
      <c r="O14" s="116">
        <f t="shared" si="1"/>
        <v>0</v>
      </c>
      <c r="P14" s="114"/>
      <c r="Q14" s="117">
        <f t="shared" si="2"/>
        <v>0</v>
      </c>
      <c r="R14" s="116">
        <f t="shared" si="3"/>
        <v>0</v>
      </c>
      <c r="S14" s="118"/>
      <c r="T14" s="119"/>
      <c r="U14" s="120"/>
      <c r="V14" s="120"/>
      <c r="W14" s="121">
        <f t="shared" si="5"/>
        <v>0.84319999999999995</v>
      </c>
      <c r="X14" s="130"/>
      <c r="Y14" s="4"/>
      <c r="Z14" s="114"/>
      <c r="AB14" t="str">
        <f>VLOOKUP(E14,Cad.RateioConsumo!$B$4:$Q$19,4,FALSE)</f>
        <v>61.434.675/0001-33</v>
      </c>
      <c r="AC14" s="273">
        <f>VLOOKUP(E14,Cad.RateioConsumo!$B$4:$U$19,20,FALSE)</f>
        <v>0</v>
      </c>
    </row>
    <row r="15" spans="1:29" ht="14.25" customHeight="1" thickBot="1">
      <c r="A15" s="4"/>
      <c r="B15" s="4" t="str">
        <f t="shared" si="0"/>
        <v>1.002/2026</v>
      </c>
      <c r="C15" s="108" t="s">
        <v>49</v>
      </c>
      <c r="D15" s="56">
        <f>VLOOKUP(C15,Cad.Usinas!$A$4:$B$6,2,FALSE)</f>
        <v>3023633492</v>
      </c>
      <c r="E15" s="109" t="s">
        <v>114</v>
      </c>
      <c r="F15" s="33" t="str">
        <f>VLOOKUP(E15,Cad.RateioConsumo!$B$4:$Q$77,2,FALSE)</f>
        <v>Usina 1</v>
      </c>
      <c r="G15" s="56">
        <f>VLOOKUP(E15,Cad.RateioConsumo!$B$4:$Q$77,5,FALSE)</f>
        <v>3023633492</v>
      </c>
      <c r="H15" s="111">
        <f>VLOOKUP(E15,Cad.RateioConsumo!$B$4:$Q$77,7,FALSE)</f>
        <v>14000</v>
      </c>
      <c r="I15" s="86">
        <f>VLOOKUP(E15,Cad.RateioConsumo!$B$4:$Q$77,11,FALSE)</f>
        <v>0.32010000000000005</v>
      </c>
      <c r="J15" s="112" t="s">
        <v>298</v>
      </c>
      <c r="K15" s="123"/>
      <c r="L15" s="123"/>
      <c r="M15" s="114"/>
      <c r="N15" s="115"/>
      <c r="O15" s="116">
        <f t="shared" si="1"/>
        <v>0</v>
      </c>
      <c r="P15" s="114"/>
      <c r="Q15" s="117">
        <f t="shared" si="2"/>
        <v>0</v>
      </c>
      <c r="R15" s="116">
        <f t="shared" si="3"/>
        <v>0</v>
      </c>
      <c r="S15" s="118"/>
      <c r="T15" s="119"/>
      <c r="U15" s="120"/>
      <c r="V15" s="120"/>
      <c r="W15" s="121">
        <f t="shared" si="5"/>
        <v>0.84319999999999995</v>
      </c>
      <c r="X15" s="130"/>
      <c r="Y15" s="4"/>
      <c r="Z15" s="114"/>
      <c r="AB15" t="e">
        <f>VLOOKUP(E15,Cad.RateioConsumo!$B$4:$Q$19,4,FALSE)</f>
        <v>#N/A</v>
      </c>
      <c r="AC15" s="273" t="e">
        <f>VLOOKUP(E15,Cad.RateioConsumo!$B$4:$U$19,20,FALSE)</f>
        <v>#N/A</v>
      </c>
    </row>
    <row r="16" spans="1:29" ht="14.25" customHeight="1" thickBot="1">
      <c r="A16" s="4"/>
      <c r="B16" s="4" t="str">
        <f t="shared" si="0"/>
        <v>2.102/2026</v>
      </c>
      <c r="C16" s="108" t="s">
        <v>53</v>
      </c>
      <c r="D16" s="56">
        <f>VLOOKUP(C16,Cad.Usinas!$A$4:$B$6,2,FALSE)</f>
        <v>3023594470</v>
      </c>
      <c r="E16" s="109" t="s">
        <v>103</v>
      </c>
      <c r="F16" s="33" t="str">
        <f>VLOOKUP(E16,Cad.RateioConsumo!$B$4:$Q$77,2,FALSE)</f>
        <v>Lucas Medeiros Lima</v>
      </c>
      <c r="G16" s="56">
        <f>VLOOKUP(E16,Cad.RateioConsumo!$B$4:$Q$77,5,FALSE)</f>
        <v>3002796782</v>
      </c>
      <c r="H16" s="111">
        <f>VLOOKUP(E16,Cad.RateioConsumo!$B$4:$Q$77,7,FALSE)</f>
        <v>1536.5</v>
      </c>
      <c r="I16" s="86">
        <f>VLOOKUP(E16,Cad.RateioConsumo!$B$4:$Q$77,11,FALSE)</f>
        <v>0.10979999999999999</v>
      </c>
      <c r="J16" s="112" t="s">
        <v>298</v>
      </c>
      <c r="K16" s="123"/>
      <c r="L16" s="123"/>
      <c r="M16" s="114">
        <v>80</v>
      </c>
      <c r="N16" s="115"/>
      <c r="O16" s="116">
        <f t="shared" si="1"/>
        <v>0</v>
      </c>
      <c r="P16" s="114">
        <v>499</v>
      </c>
      <c r="Q16" s="117">
        <f t="shared" si="2"/>
        <v>0</v>
      </c>
      <c r="R16" s="116">
        <f t="shared" si="3"/>
        <v>0</v>
      </c>
      <c r="S16" s="118"/>
      <c r="T16" s="119"/>
      <c r="U16" s="120"/>
      <c r="V16" s="120"/>
      <c r="W16" s="121">
        <f t="shared" si="5"/>
        <v>0.84319999999999995</v>
      </c>
      <c r="X16" s="130">
        <f>108.62+211.48+79.91-164.51-59.72</f>
        <v>175.78</v>
      </c>
      <c r="Y16" s="4" t="s">
        <v>145</v>
      </c>
      <c r="Z16" s="114"/>
      <c r="AB16" t="str">
        <f>VLOOKUP(E16,Cad.RateioConsumo!$B$4:$Q$19,4,FALSE)</f>
        <v>612.634.903-28</v>
      </c>
      <c r="AC16" s="273">
        <f>VLOOKUP(E16,Cad.RateioConsumo!$B$4:$U$19,20,FALSE)</f>
        <v>35943</v>
      </c>
    </row>
    <row r="17" spans="1:29" ht="12.95" customHeight="1" thickBot="1">
      <c r="A17" s="4"/>
      <c r="B17" s="4" t="str">
        <f t="shared" si="0"/>
        <v>2.201/2026</v>
      </c>
      <c r="C17" s="108" t="s">
        <v>53</v>
      </c>
      <c r="D17" s="56">
        <f>VLOOKUP(C17,Cad.Usinas!$A$4:$B$6,2,FALSE)</f>
        <v>3023594470</v>
      </c>
      <c r="E17" s="109" t="s">
        <v>108</v>
      </c>
      <c r="F17" s="281" t="str">
        <f>VLOOKUP(E17,Cad.RateioConsumo!$B$4:$Q$77,2,FALSE)</f>
        <v>SORRISO SAUDE ODONTOLOGIA LTDA</v>
      </c>
      <c r="G17" s="56">
        <f>VLOOKUP(E17,Cad.RateioConsumo!$B$4:$Q$77,5,FALSE)</f>
        <v>3022893768</v>
      </c>
      <c r="H17" s="111">
        <f>VLOOKUP(E17,Cad.RateioConsumo!$B$4:$Q$77,7,FALSE)</f>
        <v>859</v>
      </c>
      <c r="I17" s="86">
        <f>VLOOKUP(E17,Cad.RateioConsumo!$B$4:$Q$77,11,FALSE)</f>
        <v>6.1400000000000003E-2</v>
      </c>
      <c r="J17" s="112" t="s">
        <v>286</v>
      </c>
      <c r="K17" s="123"/>
      <c r="L17" s="123"/>
      <c r="M17" s="114">
        <v>100</v>
      </c>
      <c r="N17" s="115">
        <v>1.1282000000000001</v>
      </c>
      <c r="O17" s="116">
        <f t="shared" si="1"/>
        <v>112.82000000000001</v>
      </c>
      <c r="P17" s="114">
        <v>399</v>
      </c>
      <c r="Q17" s="117">
        <f t="shared" si="2"/>
        <v>1.1282000000000001</v>
      </c>
      <c r="R17" s="116">
        <f t="shared" si="3"/>
        <v>450.15180000000004</v>
      </c>
      <c r="S17" s="118">
        <v>1.85</v>
      </c>
      <c r="T17" s="119">
        <v>0.23</v>
      </c>
      <c r="U17" s="120">
        <v>5.2630000000000003E-3</v>
      </c>
      <c r="V17" s="120">
        <v>2.4274E-2</v>
      </c>
      <c r="W17" s="121">
        <f t="shared" si="5"/>
        <v>1.1284000000000001</v>
      </c>
      <c r="X17" s="130"/>
      <c r="Y17" s="4"/>
      <c r="Z17" s="114"/>
      <c r="AB17" t="str">
        <f>VLOOKUP(E17,Cad.RateioConsumo!$B$4:$Q$19,4,FALSE)</f>
        <v>60.080.581/0001-40</v>
      </c>
      <c r="AC17" s="273">
        <f>VLOOKUP(E17,Cad.RateioConsumo!$B$4:$U$19,20,FALSE)</f>
        <v>0</v>
      </c>
    </row>
    <row r="18" spans="1:29" ht="12.95" customHeight="1" thickBot="1">
      <c r="A18" s="270" t="s">
        <v>284</v>
      </c>
      <c r="B18" s="4" t="str">
        <f t="shared" ref="B18:B19" si="11">E18&amp;J18</f>
        <v>2.301/2026</v>
      </c>
      <c r="C18" s="108" t="s">
        <v>53</v>
      </c>
      <c r="D18" s="56">
        <f>VLOOKUP(C18,Cad.Usinas!$A$4:$B$6,2,FALSE)</f>
        <v>3023594470</v>
      </c>
      <c r="E18" s="109" t="s">
        <v>302</v>
      </c>
      <c r="F18" s="284" t="str">
        <f>VLOOKUP(E18,Cad.RateioConsumo!$B$4:$Q$77,2,FALSE)</f>
        <v>José de Ribamar Aguiar Costa (Zeca)</v>
      </c>
      <c r="G18" s="56">
        <f>VLOOKUP(E18,Cad.RateioConsumo!$B$4:$Q$77,5,FALSE)</f>
        <v>3005806061</v>
      </c>
      <c r="H18" s="111">
        <f>VLOOKUP(E18,Cad.RateioConsumo!$B$4:$Q$77,7,FALSE)</f>
        <v>172.38461538461539</v>
      </c>
      <c r="I18" s="86">
        <f>VLOOKUP(E18,Cad.RateioConsumo!$B$4:$Q$77,11,FALSE)</f>
        <v>1.23E-2</v>
      </c>
      <c r="J18" s="112" t="s">
        <v>286</v>
      </c>
      <c r="K18" s="123">
        <v>46051</v>
      </c>
      <c r="L18" s="123">
        <v>46064</v>
      </c>
      <c r="M18" s="114">
        <v>205</v>
      </c>
      <c r="N18" s="115">
        <v>1.1283399999999999</v>
      </c>
      <c r="O18" s="116">
        <f t="shared" ref="O18:O19" si="12">M18*N18</f>
        <v>231.30969999999999</v>
      </c>
      <c r="P18" s="114"/>
      <c r="Q18" s="117">
        <f t="shared" ref="Q18:Q19" si="13">N18</f>
        <v>1.1283399999999999</v>
      </c>
      <c r="R18" s="116">
        <f t="shared" ref="R18:R19" si="14">P18*Q18</f>
        <v>0</v>
      </c>
      <c r="S18" s="118">
        <v>2.85</v>
      </c>
      <c r="T18" s="119">
        <v>0.23</v>
      </c>
      <c r="U18" s="120">
        <v>5.2630000000000003E-3</v>
      </c>
      <c r="V18" s="120">
        <v>2.4274E-2</v>
      </c>
      <c r="W18" s="121">
        <f t="shared" ref="W18:W19" si="15">ROUND(0.84318/((1-U18-V18)*(1-T18)),4)</f>
        <v>1.1284000000000001</v>
      </c>
      <c r="X18" s="130"/>
      <c r="Y18" s="4"/>
      <c r="Z18" s="114"/>
      <c r="AB18" t="str">
        <f>VLOOKUP(E18,Cad.RateioConsumo!$B$4:$Q$19,4,FALSE)</f>
        <v>225.692.943-49</v>
      </c>
      <c r="AC18" s="273">
        <f>VLOOKUP(E18,Cad.RateioConsumo!$B$4:$U$19,20,FALSE)</f>
        <v>24298</v>
      </c>
    </row>
    <row r="19" spans="1:29" ht="12.95" customHeight="1" thickBot="1">
      <c r="A19" s="270" t="s">
        <v>284</v>
      </c>
      <c r="B19" s="4" t="str">
        <f t="shared" si="11"/>
        <v>2.402/2026</v>
      </c>
      <c r="C19" s="108" t="s">
        <v>53</v>
      </c>
      <c r="D19" s="56">
        <f>VLOOKUP(C19,Cad.Usinas!$A$4:$B$6,2,FALSE)</f>
        <v>3023594470</v>
      </c>
      <c r="E19" s="109" t="s">
        <v>306</v>
      </c>
      <c r="F19" s="284" t="str">
        <f>VLOOKUP(E19,Cad.RateioConsumo!$B$4:$Q$77,2,FALSE)</f>
        <v>Fernando Fonseca Diniz  (Andre TVN)</v>
      </c>
      <c r="G19" s="56">
        <f>VLOOKUP(E19,Cad.RateioConsumo!$B$4:$Q$77,5,FALSE)</f>
        <v>3022544461</v>
      </c>
      <c r="H19" s="111">
        <f>VLOOKUP(E19,Cad.RateioConsumo!$B$4:$Q$77,7,FALSE)</f>
        <v>241.125</v>
      </c>
      <c r="I19" s="86">
        <f>VLOOKUP(E19,Cad.RateioConsumo!$B$4:$Q$77,11,FALSE)</f>
        <v>1.7223214285714286E-2</v>
      </c>
      <c r="J19" s="112" t="s">
        <v>298</v>
      </c>
      <c r="K19" s="123">
        <v>46051</v>
      </c>
      <c r="L19" s="123">
        <v>46064</v>
      </c>
      <c r="M19" s="114">
        <v>269</v>
      </c>
      <c r="N19" s="115">
        <v>1.1283639999999999</v>
      </c>
      <c r="O19" s="116">
        <f t="shared" si="12"/>
        <v>303.52991599999996</v>
      </c>
      <c r="P19" s="114"/>
      <c r="Q19" s="117">
        <f t="shared" si="13"/>
        <v>1.1283639999999999</v>
      </c>
      <c r="R19" s="116">
        <f t="shared" si="14"/>
        <v>0</v>
      </c>
      <c r="S19" s="118">
        <v>3.85</v>
      </c>
      <c r="T19" s="119">
        <v>0.23</v>
      </c>
      <c r="U19" s="120">
        <v>5.2630000000000003E-3</v>
      </c>
      <c r="V19" s="120">
        <v>2.4274E-2</v>
      </c>
      <c r="W19" s="121">
        <f t="shared" si="15"/>
        <v>1.1284000000000001</v>
      </c>
      <c r="X19" s="130"/>
      <c r="Y19" s="4"/>
      <c r="Z19" s="114"/>
      <c r="AB19" t="str">
        <f>VLOOKUP(E19,Cad.RateioConsumo!$B$4:$Q$19,4,FALSE)</f>
        <v>011.087.293-20</v>
      </c>
      <c r="AC19" s="273">
        <f>VLOOKUP(E19,Cad.RateioConsumo!$B$4:$U$19,20,FALSE)</f>
        <v>31103</v>
      </c>
    </row>
    <row r="20" spans="1:29" ht="14.25" customHeight="1" thickBot="1">
      <c r="A20" s="4"/>
      <c r="B20" s="4" t="str">
        <f t="shared" si="0"/>
        <v>2.002/2026</v>
      </c>
      <c r="C20" s="108" t="s">
        <v>53</v>
      </c>
      <c r="D20" s="56">
        <f>VLOOKUP(C20,Cad.Usinas!$A$4:$B$6,2,FALSE)</f>
        <v>3023594470</v>
      </c>
      <c r="E20" s="109" t="s">
        <v>113</v>
      </c>
      <c r="F20" s="33" t="str">
        <f>VLOOKUP(E20,Cad.RateioConsumo!$B$4:$Q$77,2,FALSE)</f>
        <v>Usina 2</v>
      </c>
      <c r="G20" s="56">
        <f>VLOOKUP(E20,Cad.RateioConsumo!$B$4:$Q$77,5,FALSE)</f>
        <v>3023594470</v>
      </c>
      <c r="H20" s="111">
        <f>VLOOKUP(E20,Cad.RateioConsumo!$B$4:$Q$77,7,FALSE)</f>
        <v>14000</v>
      </c>
      <c r="I20" s="86">
        <f>VLOOKUP(E20,Cad.RateioConsumo!$B$4:$Q$77,11,FALSE)</f>
        <v>1</v>
      </c>
      <c r="J20" s="112" t="s">
        <v>298</v>
      </c>
      <c r="K20" s="123"/>
      <c r="L20" s="123"/>
      <c r="M20" s="114"/>
      <c r="N20" s="115"/>
      <c r="O20" s="116">
        <f t="shared" si="1"/>
        <v>0</v>
      </c>
      <c r="P20" s="114"/>
      <c r="Q20" s="117">
        <f t="shared" si="2"/>
        <v>0</v>
      </c>
      <c r="R20" s="116">
        <f t="shared" si="3"/>
        <v>0</v>
      </c>
      <c r="S20" s="118"/>
      <c r="T20" s="119"/>
      <c r="U20" s="120"/>
      <c r="V20" s="120"/>
      <c r="W20" s="121">
        <f t="shared" si="5"/>
        <v>0.84319999999999995</v>
      </c>
      <c r="X20" s="130"/>
      <c r="Y20" s="4"/>
      <c r="Z20" s="114"/>
      <c r="AB20" t="str">
        <f>VLOOKUP(E20,Cad.RateioConsumo!$B$4:$Q$19,4,FALSE)</f>
        <v>61.434.675/0001-33</v>
      </c>
      <c r="AC20" s="273">
        <f>VLOOKUP(E20,Cad.RateioConsumo!$B$4:$U$19,20,FALSE)</f>
        <v>0</v>
      </c>
    </row>
    <row r="21" spans="1:29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50"/>
      <c r="L21" s="50"/>
      <c r="M21" s="4"/>
      <c r="N21" s="4"/>
      <c r="O21" s="106"/>
      <c r="P21" s="4"/>
      <c r="Q21" s="4"/>
      <c r="R21" s="106"/>
      <c r="S21" s="4"/>
      <c r="T21" s="4"/>
      <c r="U21" s="107"/>
      <c r="V21" s="107"/>
      <c r="W21" s="107"/>
      <c r="X21" s="106"/>
      <c r="Y21" s="4"/>
      <c r="Z21" s="4"/>
    </row>
    <row r="22" spans="1:29" ht="14.25" customHeight="1">
      <c r="A22" s="4" t="s">
        <v>284</v>
      </c>
      <c r="B22" s="4" t="str">
        <f t="shared" ref="B22:B33" si="16">E22&amp;J22</f>
        <v>3.101/2026</v>
      </c>
      <c r="C22" s="108" t="s">
        <v>57</v>
      </c>
      <c r="D22" s="56">
        <f>VLOOKUP(C22,Cad.Usinas!$A$4:$B$6,2,FALSE)</f>
        <v>3023637013</v>
      </c>
      <c r="E22" s="109" t="s">
        <v>70</v>
      </c>
      <c r="F22" s="271" t="str">
        <f>VLOOKUP(E22,Cad.RateioConsumo!$B$4:$Q$77,2,FALSE)</f>
        <v>Associação dos Moradores do Residencial Araçagy</v>
      </c>
      <c r="G22" s="56">
        <f>VLOOKUP(E22,Cad.RateioConsumo!$B$4:$Q$9,5,FALSE)</f>
        <v>3021142432</v>
      </c>
      <c r="H22" s="111">
        <f>VLOOKUP(E22,Cad.RateioConsumo!$B$4:$Q$9,7,FALSE)</f>
        <v>205.36363636363637</v>
      </c>
      <c r="I22" s="86">
        <f>VLOOKUP(E22,Cad.RateioConsumo!$B$4:$Q$9,11,FALSE)</f>
        <v>1.47E-2</v>
      </c>
      <c r="J22" s="112" t="s">
        <v>286</v>
      </c>
      <c r="K22" s="282">
        <v>46026</v>
      </c>
      <c r="L22" s="282">
        <v>46046</v>
      </c>
      <c r="M22" s="114">
        <v>100</v>
      </c>
      <c r="N22" s="115">
        <v>1.1282000000000001</v>
      </c>
      <c r="O22" s="116">
        <f t="shared" ref="O22:O24" si="17">M22*N22</f>
        <v>112.82000000000001</v>
      </c>
      <c r="P22" s="114">
        <v>114.86</v>
      </c>
      <c r="Q22" s="117">
        <f t="shared" ref="Q22:Q24" si="18">N22</f>
        <v>1.1282000000000001</v>
      </c>
      <c r="R22" s="116">
        <f t="shared" ref="R22:R24" si="19">P22*Q22</f>
        <v>129.58505200000002</v>
      </c>
      <c r="S22" s="118">
        <v>2.19</v>
      </c>
      <c r="T22" s="119">
        <v>0.23</v>
      </c>
      <c r="U22" s="120">
        <v>5.2630000000000003E-3</v>
      </c>
      <c r="V22" s="120">
        <v>2.4274E-2</v>
      </c>
      <c r="W22" s="121">
        <f t="shared" ref="W22:W33" si="20">ROUND(0.84318/((1-U22-V22)*(1-T22)),4)</f>
        <v>1.1284000000000001</v>
      </c>
      <c r="X22" s="122"/>
      <c r="Y22" s="4"/>
      <c r="Z22" s="114"/>
      <c r="AB22" t="str">
        <f>VLOOKUP(E22,Cad.RateioConsumo!$B$4:$Q$9,4,FALSE)</f>
        <v>20.069.500/0001-97</v>
      </c>
      <c r="AC22" s="273">
        <f>VLOOKUP(E22,Cad.RateioConsumo!$B$4:$U$9,20,FALSE)</f>
        <v>0</v>
      </c>
    </row>
    <row r="23" spans="1:29" ht="14.25" customHeight="1">
      <c r="A23" s="4" t="s">
        <v>284</v>
      </c>
      <c r="B23" s="4" t="str">
        <f t="shared" si="16"/>
        <v>3.201/2026</v>
      </c>
      <c r="C23" s="108" t="s">
        <v>57</v>
      </c>
      <c r="D23" s="56">
        <f>VLOOKUP(C23,Cad.Usinas!$A$4:$B$6,2,FALSE)</f>
        <v>3023637013</v>
      </c>
      <c r="E23" s="109" t="s">
        <v>75</v>
      </c>
      <c r="F23" s="271" t="str">
        <f>VLOOKUP(E23,Cad.RateioConsumo!$B$4:$Q$77,2,FALSE)</f>
        <v>Associação dos Moradores do Residencial Araçagy</v>
      </c>
      <c r="G23" s="56">
        <f>VLOOKUP(E23,Cad.RateioConsumo!$B$4:$Q$9,5,FALSE)</f>
        <v>3021149593</v>
      </c>
      <c r="H23" s="111">
        <f>VLOOKUP(E23,Cad.RateioConsumo!$B$4:$Q$9,7,FALSE)</f>
        <v>734.33333333333337</v>
      </c>
      <c r="I23" s="86">
        <f>VLOOKUP(E23,Cad.RateioConsumo!$B$4:$Q$9,11,FALSE)</f>
        <v>5.2499999999999998E-2</v>
      </c>
      <c r="J23" s="112" t="s">
        <v>286</v>
      </c>
      <c r="K23" s="282">
        <v>46026</v>
      </c>
      <c r="L23" s="282">
        <v>46046</v>
      </c>
      <c r="M23" s="114">
        <v>30</v>
      </c>
      <c r="N23" s="115">
        <v>1.127667</v>
      </c>
      <c r="O23" s="116">
        <f t="shared" si="17"/>
        <v>33.830010000000001</v>
      </c>
      <c r="P23" s="114">
        <v>660.25</v>
      </c>
      <c r="Q23" s="117">
        <f t="shared" si="18"/>
        <v>1.127667</v>
      </c>
      <c r="R23" s="116">
        <f t="shared" si="19"/>
        <v>744.54213674999994</v>
      </c>
      <c r="S23" s="118">
        <v>0.65</v>
      </c>
      <c r="T23" s="119">
        <v>0.23</v>
      </c>
      <c r="U23" s="120">
        <v>5.2630000000000003E-3</v>
      </c>
      <c r="V23" s="120">
        <v>2.4274E-2</v>
      </c>
      <c r="W23" s="121">
        <f>ROUND(0.84318/ROUND(((1-U23-V23)*(1-T23)),4),4)</f>
        <v>1.1283000000000001</v>
      </c>
      <c r="X23" s="122"/>
      <c r="Y23" s="4"/>
      <c r="Z23" s="114"/>
      <c r="AB23" t="str">
        <f>VLOOKUP(E23,Cad.RateioConsumo!$B$4:$Q$9,4,FALSE)</f>
        <v>20.069.500/0001-97</v>
      </c>
      <c r="AC23" s="273">
        <f>VLOOKUP(E23,Cad.RateioConsumo!$B$4:$U$9,20,FALSE)</f>
        <v>0</v>
      </c>
    </row>
    <row r="24" spans="1:29" ht="14.25" customHeight="1">
      <c r="A24" s="4" t="s">
        <v>284</v>
      </c>
      <c r="B24" s="4" t="str">
        <f t="shared" si="16"/>
        <v>3.301/2026</v>
      </c>
      <c r="C24" s="108" t="s">
        <v>57</v>
      </c>
      <c r="D24" s="56">
        <f>VLOOKUP(C24,Cad.Usinas!$A$4:$B$6,2,FALSE)</f>
        <v>3023637013</v>
      </c>
      <c r="E24" s="109" t="s">
        <v>77</v>
      </c>
      <c r="F24" s="272" t="str">
        <f>VLOOKUP(E24,Cad.RateioConsumo!$B$4:$Q$77,2,FALSE)</f>
        <v>Associação dos Moradores do Residencial Araçagy</v>
      </c>
      <c r="G24" s="56">
        <f>VLOOKUP(E24,Cad.RateioConsumo!$B$4:$Q$9,5,FALSE)</f>
        <v>3021150559</v>
      </c>
      <c r="H24" s="111">
        <f>VLOOKUP(E24,Cad.RateioConsumo!$B$4:$Q$9,7,FALSE)</f>
        <v>2086.4545454545455</v>
      </c>
      <c r="I24" s="86">
        <f>VLOOKUP(E24,Cad.RateioConsumo!$B$4:$Q$9,11,FALSE)</f>
        <v>0.107</v>
      </c>
      <c r="J24" s="112" t="s">
        <v>286</v>
      </c>
      <c r="K24" s="282">
        <v>46026</v>
      </c>
      <c r="L24" s="282">
        <v>46046</v>
      </c>
      <c r="M24" s="114">
        <v>307.3</v>
      </c>
      <c r="N24" s="115">
        <v>1.1283110000000001</v>
      </c>
      <c r="O24" s="116">
        <f t="shared" si="17"/>
        <v>346.72997030000005</v>
      </c>
      <c r="P24" s="114">
        <v>1528.95</v>
      </c>
      <c r="Q24" s="117">
        <f t="shared" si="18"/>
        <v>1.1283110000000001</v>
      </c>
      <c r="R24" s="116">
        <f t="shared" si="19"/>
        <v>1725.1311034500002</v>
      </c>
      <c r="S24" s="118">
        <v>6.75</v>
      </c>
      <c r="T24" s="119">
        <v>0.23</v>
      </c>
      <c r="U24" s="120">
        <v>5.2630000000000003E-3</v>
      </c>
      <c r="V24" s="120">
        <v>2.4274E-2</v>
      </c>
      <c r="W24" s="121">
        <f>ROUND(0.84318/((1-U24-V24)*(1-T24)),4)</f>
        <v>1.1284000000000001</v>
      </c>
      <c r="X24" s="122"/>
      <c r="Y24" s="4"/>
      <c r="Z24" s="114"/>
      <c r="AB24" t="str">
        <f>VLOOKUP(E24,Cad.RateioConsumo!$B$4:$Q$9,4,FALSE)</f>
        <v>20.069.500/0001-97</v>
      </c>
      <c r="AC24" s="273">
        <f>VLOOKUP(E24,Cad.RateioConsumo!$B$4:$U$9,20,FALSE)</f>
        <v>0</v>
      </c>
    </row>
    <row r="25" spans="1:29" ht="14.25" customHeight="1">
      <c r="A25" s="4" t="s">
        <v>284</v>
      </c>
      <c r="B25" s="4" t="str">
        <f t="shared" si="16"/>
        <v>3.401/2026</v>
      </c>
      <c r="C25" s="108" t="s">
        <v>57</v>
      </c>
      <c r="D25" s="56">
        <f>VLOOKUP(C25,Cad.Usinas!$A$4:$B$6,2,FALSE)</f>
        <v>3023637013</v>
      </c>
      <c r="E25" s="109" t="s">
        <v>82</v>
      </c>
      <c r="F25" s="272" t="str">
        <f>VLOOKUP(E25,Cad.RateioConsumo!$B$4:$Q$77,2,FALSE)</f>
        <v>Antonio Jose Souza Filho</v>
      </c>
      <c r="G25" s="56">
        <f>VLOOKUP(E25,Cad.RateioConsumo!$B$4:$Q$9,5,FALSE)</f>
        <v>3007625048</v>
      </c>
      <c r="H25" s="111">
        <f>VLOOKUP(E25,Cad.RateioConsumo!$B$4:$Q$9,7,FALSE)</f>
        <v>417.15384615384613</v>
      </c>
      <c r="I25" s="86">
        <f>VLOOKUP(E25,Cad.RateioConsumo!$B$4:$Q$9,11,FALSE)</f>
        <v>2.98E-2</v>
      </c>
      <c r="J25" s="112" t="s">
        <v>286</v>
      </c>
      <c r="K25" s="282">
        <v>46029</v>
      </c>
      <c r="L25" s="282">
        <v>46046</v>
      </c>
      <c r="M25" s="114">
        <v>129.47</v>
      </c>
      <c r="N25" s="115">
        <v>1.1282920000000001</v>
      </c>
      <c r="O25" s="116">
        <f t="shared" ref="O25" si="21">M25*N25</f>
        <v>146.07996524000001</v>
      </c>
      <c r="P25" s="114">
        <v>441.52</v>
      </c>
      <c r="Q25" s="117">
        <f t="shared" ref="Q25" si="22">N25</f>
        <v>1.1282920000000001</v>
      </c>
      <c r="R25" s="116">
        <f t="shared" ref="R25" si="23">P25*Q25</f>
        <v>498.16348384000003</v>
      </c>
      <c r="S25" s="118">
        <v>2.57</v>
      </c>
      <c r="T25" s="119">
        <v>0.23</v>
      </c>
      <c r="U25" s="120">
        <v>5.2630000000000003E-3</v>
      </c>
      <c r="V25" s="120">
        <v>2.4274E-2</v>
      </c>
      <c r="W25" s="121">
        <f t="shared" si="20"/>
        <v>1.1284000000000001</v>
      </c>
      <c r="X25" s="122"/>
      <c r="Y25" s="4"/>
      <c r="Z25" s="114"/>
      <c r="AB25" t="str">
        <f>VLOOKUP(E25,Cad.RateioConsumo!$B$4:$Q$9,4,FALSE)</f>
        <v>682.957.583-49</v>
      </c>
      <c r="AC25" s="273">
        <f>VLOOKUP(E25,Cad.RateioConsumo!$B$4:$U$9,20,FALSE)</f>
        <v>28283</v>
      </c>
    </row>
    <row r="26" spans="1:29" ht="14.25" customHeight="1">
      <c r="A26" s="4" t="s">
        <v>284</v>
      </c>
      <c r="B26" s="4" t="str">
        <f t="shared" si="16"/>
        <v>3.512/2025</v>
      </c>
      <c r="C26" s="108" t="s">
        <v>57</v>
      </c>
      <c r="D26" s="56">
        <f>VLOOKUP(C26,Cad.Usinas!$A$4:$B$6,2,FALSE)</f>
        <v>3023637013</v>
      </c>
      <c r="E26" s="109" t="s">
        <v>87</v>
      </c>
      <c r="F26" s="272" t="str">
        <f>VLOOKUP(E26,Cad.RateioConsumo!$B$4:$Q$77,2,FALSE)</f>
        <v>João Carlos Pereira Dutra Filho</v>
      </c>
      <c r="G26" s="56">
        <f>VLOOKUP(E26,Cad.RateioConsumo!$B$4:$Q$9,5,FALSE)</f>
        <v>1163310</v>
      </c>
      <c r="H26" s="111">
        <f>VLOOKUP(E26,Cad.RateioConsumo!$B$4:$Q$9,7,FALSE)</f>
        <v>848.69230769230774</v>
      </c>
      <c r="I26" s="86">
        <f>VLOOKUP(E26,Cad.RateioConsumo!$B$4:$Q$9,11,FALSE)</f>
        <v>6.0600000000000001E-2</v>
      </c>
      <c r="J26" s="112" t="s">
        <v>143</v>
      </c>
      <c r="K26" s="123">
        <v>46021</v>
      </c>
      <c r="L26" s="123">
        <v>46028</v>
      </c>
      <c r="M26" s="114">
        <v>30</v>
      </c>
      <c r="N26" s="115">
        <v>1.42</v>
      </c>
      <c r="O26" s="116">
        <f t="shared" ref="O26:O33" si="24">M26*N26</f>
        <v>42.599999999999994</v>
      </c>
      <c r="P26" s="114">
        <v>864</v>
      </c>
      <c r="Q26" s="117">
        <f t="shared" ref="Q26:Q33" si="25">N26</f>
        <v>1.42</v>
      </c>
      <c r="R26" s="116">
        <f t="shared" ref="R26:R33" si="26">P26*Q26</f>
        <v>1226.8799999999999</v>
      </c>
      <c r="S26" s="118">
        <v>0.83</v>
      </c>
      <c r="T26" s="119">
        <v>0.23</v>
      </c>
      <c r="U26" s="120">
        <v>7.4339999999999996E-3</v>
      </c>
      <c r="V26" s="120">
        <v>3.4283000000000001E-2</v>
      </c>
      <c r="W26" s="121">
        <f t="shared" si="20"/>
        <v>1.1427</v>
      </c>
      <c r="X26" s="128"/>
      <c r="Y26" s="4"/>
      <c r="Z26" s="114"/>
      <c r="AB26" t="str">
        <f>VLOOKUP(E26,Cad.RateioConsumo!$B$4:$Q$9,4,FALSE)</f>
        <v>064837473-49</v>
      </c>
      <c r="AC26" s="273">
        <f>VLOOKUP(E26,Cad.RateioConsumo!$B$4:$U$9,20,FALSE)</f>
        <v>19543</v>
      </c>
    </row>
    <row r="27" spans="1:29" ht="14.25" customHeight="1" thickBot="1">
      <c r="A27" s="4" t="s">
        <v>284</v>
      </c>
      <c r="B27" s="4" t="str">
        <f t="shared" si="16"/>
        <v>3.601/2026</v>
      </c>
      <c r="C27" s="108" t="s">
        <v>57</v>
      </c>
      <c r="D27" s="56">
        <f>VLOOKUP(C27,Cad.Usinas!$A$4:$B$6,2,FALSE)</f>
        <v>3023637013</v>
      </c>
      <c r="E27" s="109" t="s">
        <v>92</v>
      </c>
      <c r="F27" s="272" t="str">
        <f>VLOOKUP(E27,Cad.RateioConsumo!$B$4:$Q$77,2,FALSE)</f>
        <v>Patricia Maria Abreu Machado</v>
      </c>
      <c r="G27" s="56">
        <f>VLOOKUP(E27,Cad.RateioConsumo!$B$4:$Q$9,5,FALSE)</f>
        <v>3006793931</v>
      </c>
      <c r="H27" s="111">
        <f>VLOOKUP(E27,Cad.RateioConsumo!$B$4:$Q$9,7,FALSE)</f>
        <v>776.76923076923072</v>
      </c>
      <c r="I27" s="86">
        <f>VLOOKUP(E27,Cad.RateioConsumo!$B$4:$Q$9,11,FALSE)</f>
        <v>5.5500000000000001E-2</v>
      </c>
      <c r="J27" s="112" t="s">
        <v>286</v>
      </c>
      <c r="K27" s="123">
        <v>46034</v>
      </c>
      <c r="L27" s="123">
        <v>46048</v>
      </c>
      <c r="M27" s="114"/>
      <c r="N27" s="115"/>
      <c r="O27" s="116">
        <f t="shared" si="24"/>
        <v>0</v>
      </c>
      <c r="P27" s="114"/>
      <c r="Q27" s="117">
        <f t="shared" si="25"/>
        <v>0</v>
      </c>
      <c r="R27" s="116">
        <f t="shared" si="26"/>
        <v>0</v>
      </c>
      <c r="S27" s="118"/>
      <c r="T27" s="119"/>
      <c r="U27" s="120"/>
      <c r="V27" s="120"/>
      <c r="W27" s="121">
        <f t="shared" si="20"/>
        <v>0.84319999999999995</v>
      </c>
      <c r="X27" s="255" t="s">
        <v>280</v>
      </c>
      <c r="Y27" s="256">
        <f>W27-N27</f>
        <v>0.84319999999999995</v>
      </c>
      <c r="Z27" s="114"/>
      <c r="AB27" t="str">
        <f>VLOOKUP(E27,Cad.RateioConsumo!$B$4:$Q$9,4,FALSE)</f>
        <v>676.211.553-53</v>
      </c>
      <c r="AC27" s="273">
        <f>VLOOKUP(E27,Cad.RateioConsumo!$B$4:$U$9,20,FALSE)</f>
        <v>27174</v>
      </c>
    </row>
    <row r="28" spans="1:29" ht="14.25" customHeight="1" thickBot="1">
      <c r="A28" s="4" t="s">
        <v>284</v>
      </c>
      <c r="B28" s="4" t="str">
        <f t="shared" si="16"/>
        <v>3.7</v>
      </c>
      <c r="C28" s="108" t="s">
        <v>57</v>
      </c>
      <c r="D28" s="56">
        <f>VLOOKUP(C28,Cad.Usinas!$A$4:$B$6,2,FALSE)</f>
        <v>3023637013</v>
      </c>
      <c r="E28" s="109" t="s">
        <v>96</v>
      </c>
      <c r="F28" s="257" t="str">
        <f>VLOOKUP(E28,Cad.RateioConsumo!$B$4:$Q$77,2,FALSE)</f>
        <v>Fatima Abdel Hafiz Khalifa Cavalcanti</v>
      </c>
      <c r="G28" s="56">
        <f>VLOOKUP(E28,Cad.RateioConsumo!$B$4:$Q$22,5,FALSE)</f>
        <v>38398091</v>
      </c>
      <c r="H28" s="111">
        <f>VLOOKUP(E28,Cad.RateioConsumo!$B$4:$Q$22,7,FALSE)</f>
        <v>1013.3846153846154</v>
      </c>
      <c r="I28" s="86">
        <f>VLOOKUP(E28,Cad.RateioConsumo!$B$4:$Q$22,11,FALSE)</f>
        <v>7.2400000000000006E-2</v>
      </c>
      <c r="J28" s="112"/>
      <c r="K28" s="123"/>
      <c r="L28" s="123"/>
      <c r="M28" s="114"/>
      <c r="N28" s="115"/>
      <c r="O28" s="116">
        <f t="shared" si="24"/>
        <v>0</v>
      </c>
      <c r="P28" s="114"/>
      <c r="Q28" s="117">
        <f t="shared" si="25"/>
        <v>0</v>
      </c>
      <c r="R28" s="116">
        <f t="shared" si="26"/>
        <v>0</v>
      </c>
      <c r="S28" s="118"/>
      <c r="T28" s="119"/>
      <c r="U28" s="120"/>
      <c r="V28" s="120"/>
      <c r="W28" s="121">
        <f t="shared" si="20"/>
        <v>0.84319999999999995</v>
      </c>
      <c r="X28" s="252">
        <f>W28-Q28</f>
        <v>0.84319999999999995</v>
      </c>
      <c r="Y28" s="4"/>
      <c r="Z28" s="114"/>
      <c r="AB28" t="str">
        <f>VLOOKUP(E28,Cad.RateioConsumo!$B$4:$Q$19,4,FALSE)</f>
        <v>840.670.553-15</v>
      </c>
      <c r="AC28" s="273">
        <f>VLOOKUP(E28,Cad.RateioConsumo!$B$4:$U$19,20,FALSE)</f>
        <v>29085</v>
      </c>
    </row>
    <row r="29" spans="1:29" ht="14.25" customHeight="1" thickBot="1">
      <c r="A29" s="4"/>
      <c r="B29" s="4" t="str">
        <f t="shared" si="16"/>
        <v>3.001/2026</v>
      </c>
      <c r="C29" s="108" t="s">
        <v>57</v>
      </c>
      <c r="D29" s="56">
        <f>VLOOKUP(C29,Cad.Usinas!$A$4:$B$6,2,FALSE)</f>
        <v>3023637013</v>
      </c>
      <c r="E29" s="109" t="s">
        <v>101</v>
      </c>
      <c r="F29" s="33" t="str">
        <f>VLOOKUP(E29,Cad.RateioConsumo!$B$4:$Q$77,2,FALSE)</f>
        <v>Usina 3</v>
      </c>
      <c r="G29" s="56">
        <f>VLOOKUP(E29,Cad.RateioConsumo!$B$4:$Q$77,5,FALSE)</f>
        <v>3023637013</v>
      </c>
      <c r="H29" s="111">
        <f>VLOOKUP(E29,Cad.RateioConsumo!$B$4:$Q$77,7,FALSE)</f>
        <v>8931.2331002331011</v>
      </c>
      <c r="I29" s="86">
        <f>VLOOKUP(E29,Cad.RateioConsumo!$B$4:$Q$77,11,FALSE)</f>
        <v>0.67989999999999995</v>
      </c>
      <c r="J29" s="112" t="s">
        <v>286</v>
      </c>
      <c r="K29" s="123"/>
      <c r="L29" s="123"/>
      <c r="M29" s="114"/>
      <c r="N29" s="115"/>
      <c r="O29" s="116">
        <f t="shared" si="24"/>
        <v>0</v>
      </c>
      <c r="P29" s="114"/>
      <c r="Q29" s="117">
        <f t="shared" si="25"/>
        <v>0</v>
      </c>
      <c r="R29" s="116">
        <f t="shared" si="26"/>
        <v>0</v>
      </c>
      <c r="S29" s="118"/>
      <c r="T29" s="119"/>
      <c r="U29" s="120"/>
      <c r="V29" s="120"/>
      <c r="W29" s="121">
        <f t="shared" si="20"/>
        <v>0.84319999999999995</v>
      </c>
      <c r="X29" s="130"/>
      <c r="Y29" s="4"/>
      <c r="Z29" s="114"/>
      <c r="AB29" t="str">
        <f>VLOOKUP(E29,Cad.RateioConsumo!$B$4:$Q$19,4,FALSE)</f>
        <v>61.434.675/0001-33</v>
      </c>
      <c r="AC29" s="273">
        <f>VLOOKUP(E29,Cad.RateioConsumo!$B$4:$U$19,20,FALSE)</f>
        <v>0</v>
      </c>
    </row>
    <row r="30" spans="1:29" ht="14.25" customHeight="1" thickBot="1">
      <c r="A30" s="4"/>
      <c r="B30" s="4" t="str">
        <f t="shared" si="16"/>
        <v>1.001/2026</v>
      </c>
      <c r="C30" s="108" t="s">
        <v>49</v>
      </c>
      <c r="D30" s="56">
        <f>VLOOKUP(C30,Cad.Usinas!$A$4:$B$6,2,FALSE)</f>
        <v>3023633492</v>
      </c>
      <c r="E30" s="109" t="s">
        <v>114</v>
      </c>
      <c r="F30" s="33" t="str">
        <f>VLOOKUP(E30,Cad.RateioConsumo!$B$4:$Q$77,2,FALSE)</f>
        <v>Usina 1</v>
      </c>
      <c r="G30" s="56">
        <f>VLOOKUP(E30,Cad.RateioConsumo!$B$4:$Q$77,5,FALSE)</f>
        <v>3023633492</v>
      </c>
      <c r="H30" s="111">
        <f>VLOOKUP(E30,Cad.RateioConsumo!$B$4:$Q$77,7,FALSE)</f>
        <v>14000</v>
      </c>
      <c r="I30" s="86">
        <f>VLOOKUP(E30,Cad.RateioConsumo!$B$4:$Q$77,11,FALSE)</f>
        <v>0.32010000000000005</v>
      </c>
      <c r="J30" s="112" t="s">
        <v>286</v>
      </c>
      <c r="K30" s="123"/>
      <c r="L30" s="123"/>
      <c r="M30" s="114"/>
      <c r="N30" s="115"/>
      <c r="O30" s="116">
        <f t="shared" si="24"/>
        <v>0</v>
      </c>
      <c r="P30" s="114"/>
      <c r="Q30" s="117">
        <f t="shared" si="25"/>
        <v>0</v>
      </c>
      <c r="R30" s="116">
        <f t="shared" si="26"/>
        <v>0</v>
      </c>
      <c r="S30" s="118"/>
      <c r="T30" s="119"/>
      <c r="U30" s="120"/>
      <c r="V30" s="120"/>
      <c r="W30" s="121">
        <f t="shared" si="20"/>
        <v>0.84319999999999995</v>
      </c>
      <c r="X30" s="130"/>
      <c r="Y30" s="4" t="s">
        <v>144</v>
      </c>
      <c r="Z30" s="114"/>
      <c r="AB30" t="e">
        <f>VLOOKUP(E30,Cad.RateioConsumo!$B$4:$Q$19,4,FALSE)</f>
        <v>#N/A</v>
      </c>
      <c r="AC30" s="273" t="e">
        <f>VLOOKUP(E30,Cad.RateioConsumo!$B$4:$U$19,20,FALSE)</f>
        <v>#N/A</v>
      </c>
    </row>
    <row r="31" spans="1:29" ht="14.25" customHeight="1" thickBot="1">
      <c r="A31" s="4"/>
      <c r="B31" s="4" t="str">
        <f t="shared" si="16"/>
        <v>2.101/2026</v>
      </c>
      <c r="C31" s="108" t="s">
        <v>53</v>
      </c>
      <c r="D31" s="56">
        <f>VLOOKUP(C31,Cad.Usinas!$A$4:$B$6,2,FALSE)</f>
        <v>3023594470</v>
      </c>
      <c r="E31" s="109" t="s">
        <v>103</v>
      </c>
      <c r="F31" s="33" t="str">
        <f>VLOOKUP(E31,Cad.RateioConsumo!$B$4:$Q$77,2,FALSE)</f>
        <v>Lucas Medeiros Lima</v>
      </c>
      <c r="G31" s="56">
        <f>VLOOKUP(E31,Cad.RateioConsumo!$B$4:$Q$77,5,FALSE)</f>
        <v>3002796782</v>
      </c>
      <c r="H31" s="111">
        <f>VLOOKUP(E31,Cad.RateioConsumo!$B$4:$Q$77,7,FALSE)</f>
        <v>1536.5</v>
      </c>
      <c r="I31" s="86">
        <f>VLOOKUP(E31,Cad.RateioConsumo!$B$4:$Q$77,11,FALSE)</f>
        <v>0.10979999999999999</v>
      </c>
      <c r="J31" s="112" t="s">
        <v>286</v>
      </c>
      <c r="K31" s="123">
        <v>46034</v>
      </c>
      <c r="L31" s="123">
        <v>46048</v>
      </c>
      <c r="M31" s="114">
        <v>80</v>
      </c>
      <c r="N31" s="115"/>
      <c r="O31" s="116">
        <f t="shared" si="24"/>
        <v>0</v>
      </c>
      <c r="P31" s="114">
        <v>499</v>
      </c>
      <c r="Q31" s="117">
        <f t="shared" si="25"/>
        <v>0</v>
      </c>
      <c r="R31" s="116">
        <f t="shared" si="26"/>
        <v>0</v>
      </c>
      <c r="S31" s="118"/>
      <c r="T31" s="119"/>
      <c r="U31" s="120"/>
      <c r="V31" s="120"/>
      <c r="W31" s="121">
        <f t="shared" si="20"/>
        <v>0.84319999999999995</v>
      </c>
      <c r="X31" s="130">
        <f>108.62+211.48+79.91-164.51-59.72</f>
        <v>175.78</v>
      </c>
      <c r="Y31" s="4" t="s">
        <v>145</v>
      </c>
      <c r="Z31" s="114"/>
      <c r="AB31" t="str">
        <f>VLOOKUP(E31,Cad.RateioConsumo!$B$4:$Q$19,4,FALSE)</f>
        <v>612.634.903-28</v>
      </c>
      <c r="AC31" s="273">
        <f>VLOOKUP(E31,Cad.RateioConsumo!$B$4:$U$19,20,FALSE)</f>
        <v>35943</v>
      </c>
    </row>
    <row r="32" spans="1:29" ht="14.25" customHeight="1" thickBot="1">
      <c r="A32" s="4" t="s">
        <v>284</v>
      </c>
      <c r="B32" s="4" t="str">
        <f t="shared" si="16"/>
        <v>2.201/2026</v>
      </c>
      <c r="C32" s="108" t="s">
        <v>53</v>
      </c>
      <c r="D32" s="56">
        <f>VLOOKUP(C32,Cad.Usinas!$A$4:$B$6,2,FALSE)</f>
        <v>3023594470</v>
      </c>
      <c r="E32" s="109" t="s">
        <v>108</v>
      </c>
      <c r="F32" s="257" t="str">
        <f>VLOOKUP(E32,Cad.RateioConsumo!$B$4:$Q$77,2,FALSE)</f>
        <v>SORRISO SAUDE ODONTOLOGIA LTDA</v>
      </c>
      <c r="G32" s="56">
        <f>VLOOKUP(E32,Cad.RateioConsumo!$B$4:$Q$77,5,FALSE)</f>
        <v>3022893768</v>
      </c>
      <c r="H32" s="111">
        <f>VLOOKUP(E32,Cad.RateioConsumo!$B$4:$Q$77,7,FALSE)</f>
        <v>859</v>
      </c>
      <c r="I32" s="86">
        <f>VLOOKUP(E32,Cad.RateioConsumo!$B$4:$Q$77,11,FALSE)</f>
        <v>6.1400000000000003E-2</v>
      </c>
      <c r="J32" s="112" t="s">
        <v>286</v>
      </c>
      <c r="K32" s="123">
        <v>46030</v>
      </c>
      <c r="L32" s="123">
        <v>46037</v>
      </c>
      <c r="M32" s="114">
        <v>100</v>
      </c>
      <c r="N32" s="115">
        <v>1.1282000000000001</v>
      </c>
      <c r="O32" s="116">
        <f t="shared" si="24"/>
        <v>112.82000000000001</v>
      </c>
      <c r="P32" s="114">
        <v>399</v>
      </c>
      <c r="Q32" s="117">
        <f t="shared" si="25"/>
        <v>1.1282000000000001</v>
      </c>
      <c r="R32" s="116">
        <f t="shared" si="26"/>
        <v>450.15180000000004</v>
      </c>
      <c r="S32" s="118">
        <v>1.85</v>
      </c>
      <c r="T32" s="119">
        <v>0.23</v>
      </c>
      <c r="U32" s="120">
        <v>5.2630000000000003E-3</v>
      </c>
      <c r="V32" s="120">
        <v>2.4274E-2</v>
      </c>
      <c r="W32" s="121">
        <f t="shared" si="20"/>
        <v>1.1284000000000001</v>
      </c>
      <c r="X32" s="130"/>
      <c r="Y32" s="4"/>
      <c r="Z32" s="114"/>
      <c r="AB32" t="str">
        <f>VLOOKUP(E32,Cad.RateioConsumo!$B$4:$Q$19,4,FALSE)</f>
        <v>60.080.581/0001-40</v>
      </c>
      <c r="AC32" s="273">
        <f>VLOOKUP(E32,Cad.RateioConsumo!$B$4:$U$19,20,FALSE)</f>
        <v>0</v>
      </c>
    </row>
    <row r="33" spans="1:29" ht="14.25" customHeight="1" thickBot="1">
      <c r="A33" s="4"/>
      <c r="B33" s="4" t="str">
        <f t="shared" si="16"/>
        <v>2.001/2026</v>
      </c>
      <c r="C33" s="108" t="s">
        <v>53</v>
      </c>
      <c r="D33" s="56">
        <f>VLOOKUP(C33,Cad.Usinas!$A$4:$B$6,2,FALSE)</f>
        <v>3023594470</v>
      </c>
      <c r="E33" s="109" t="s">
        <v>113</v>
      </c>
      <c r="F33" s="33" t="str">
        <f>VLOOKUP(E33,Cad.RateioConsumo!$B$4:$Q$77,2,FALSE)</f>
        <v>Usina 2</v>
      </c>
      <c r="G33" s="56">
        <f>VLOOKUP(E33,Cad.RateioConsumo!$B$4:$Q$77,5,FALSE)</f>
        <v>3023594470</v>
      </c>
      <c r="H33" s="111">
        <f>VLOOKUP(E33,Cad.RateioConsumo!$B$4:$Q$77,7,FALSE)</f>
        <v>14000</v>
      </c>
      <c r="I33" s="86">
        <f>VLOOKUP(E33,Cad.RateioConsumo!$B$4:$Q$77,11,FALSE)</f>
        <v>1</v>
      </c>
      <c r="J33" s="112" t="s">
        <v>286</v>
      </c>
      <c r="K33" s="123"/>
      <c r="L33" s="123"/>
      <c r="M33" s="114"/>
      <c r="N33" s="115"/>
      <c r="O33" s="116">
        <f t="shared" si="24"/>
        <v>0</v>
      </c>
      <c r="P33" s="114"/>
      <c r="Q33" s="117">
        <f t="shared" si="25"/>
        <v>0</v>
      </c>
      <c r="R33" s="116">
        <f t="shared" si="26"/>
        <v>0</v>
      </c>
      <c r="S33" s="118"/>
      <c r="T33" s="119"/>
      <c r="U33" s="120"/>
      <c r="V33" s="120"/>
      <c r="W33" s="121">
        <f t="shared" si="20"/>
        <v>0.84319999999999995</v>
      </c>
      <c r="X33" s="130"/>
      <c r="Y33" s="4"/>
      <c r="Z33" s="114"/>
      <c r="AB33" t="str">
        <f>VLOOKUP(E33,Cad.RateioConsumo!$B$4:$Q$19,4,FALSE)</f>
        <v>61.434.675/0001-33</v>
      </c>
      <c r="AC33" s="273">
        <f>VLOOKUP(E33,Cad.RateioConsumo!$B$4:$U$19,20,FALSE)</f>
        <v>0</v>
      </c>
    </row>
    <row r="34" spans="1:29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50"/>
      <c r="L34" s="50"/>
      <c r="M34" s="4"/>
      <c r="N34" s="4"/>
      <c r="O34" s="106"/>
      <c r="P34" s="4"/>
      <c r="Q34" s="4"/>
      <c r="R34" s="106"/>
      <c r="S34" s="4"/>
      <c r="T34" s="4"/>
      <c r="U34" s="107"/>
      <c r="V34" s="107"/>
      <c r="W34" s="107"/>
      <c r="X34" s="106"/>
      <c r="Y34" s="4"/>
      <c r="Z34" s="4"/>
    </row>
    <row r="35" spans="1:29" ht="14.25" customHeight="1">
      <c r="A35" s="4" t="s">
        <v>284</v>
      </c>
      <c r="B35" s="4" t="str">
        <f t="shared" ref="B35:B46" si="27">E35&amp;J35</f>
        <v>3.112/2025</v>
      </c>
      <c r="C35" s="108" t="s">
        <v>57</v>
      </c>
      <c r="D35" s="56">
        <f>VLOOKUP(C35,Cad.Usinas!$A$4:$B$6,2,FALSE)</f>
        <v>3023637013</v>
      </c>
      <c r="E35" s="109" t="s">
        <v>70</v>
      </c>
      <c r="F35" s="110" t="str">
        <f>VLOOKUP(E35,Cad.RateioConsumo!$B$4:$Q$77,2,FALSE)</f>
        <v>Associação dos Moradores do Residencial Araçagy</v>
      </c>
      <c r="G35" s="56">
        <f>VLOOKUP(E35,Cad.RateioConsumo!$B$4:$Q$9,5,FALSE)</f>
        <v>3021142432</v>
      </c>
      <c r="H35" s="111">
        <f>VLOOKUP(E35,Cad.RateioConsumo!$B$4:$Q$9,7,FALSE)</f>
        <v>205.36363636363637</v>
      </c>
      <c r="I35" s="86">
        <f>VLOOKUP(E35,Cad.RateioConsumo!$B$4:$Q$9,11,FALSE)</f>
        <v>1.47E-2</v>
      </c>
      <c r="J35" s="112" t="s">
        <v>143</v>
      </c>
      <c r="K35" s="113">
        <v>45995</v>
      </c>
      <c r="L35" s="113">
        <v>46015</v>
      </c>
      <c r="M35" s="114">
        <v>100</v>
      </c>
      <c r="N35" s="115">
        <v>1.142725</v>
      </c>
      <c r="O35" s="116">
        <f t="shared" ref="O35:O41" si="28">M35*N35</f>
        <v>114.27249999999999</v>
      </c>
      <c r="P35" s="114">
        <v>120.86</v>
      </c>
      <c r="Q35" s="117">
        <f t="shared" ref="Q35:Q41" si="29">N35</f>
        <v>1.142725</v>
      </c>
      <c r="R35" s="116">
        <f t="shared" ref="R35:R41" si="30">P35*Q35</f>
        <v>138.10974350000001</v>
      </c>
      <c r="S35" s="118">
        <v>5.21</v>
      </c>
      <c r="T35" s="119">
        <v>0.23</v>
      </c>
      <c r="U35" s="120">
        <v>7.4339999999999996E-3</v>
      </c>
      <c r="V35" s="120">
        <v>3.4283000000000001E-2</v>
      </c>
      <c r="W35" s="121">
        <f t="shared" ref="W35:W46" si="31">ROUND(0.84318/((1-U35-V35)*(1-T35)),4)</f>
        <v>1.1427</v>
      </c>
      <c r="X35" s="122"/>
      <c r="Y35" s="4"/>
      <c r="Z35" s="114"/>
    </row>
    <row r="36" spans="1:29" ht="14.25" customHeight="1">
      <c r="A36" s="4" t="s">
        <v>284</v>
      </c>
      <c r="B36" s="4" t="str">
        <f t="shared" si="27"/>
        <v>3.212/2025</v>
      </c>
      <c r="C36" s="108" t="s">
        <v>57</v>
      </c>
      <c r="D36" s="56">
        <f>VLOOKUP(C36,Cad.Usinas!$A$4:$B$6,2,FALSE)</f>
        <v>3023637013</v>
      </c>
      <c r="E36" s="109" t="s">
        <v>75</v>
      </c>
      <c r="F36" s="110" t="str">
        <f>VLOOKUP(E36,Cad.RateioConsumo!$B$4:$Q$77,2,FALSE)</f>
        <v>Associação dos Moradores do Residencial Araçagy</v>
      </c>
      <c r="G36" s="56">
        <f>VLOOKUP(E36,Cad.RateioConsumo!$B$4:$Q$9,5,FALSE)</f>
        <v>3021149593</v>
      </c>
      <c r="H36" s="111">
        <f>VLOOKUP(E36,Cad.RateioConsumo!$B$4:$Q$9,7,FALSE)</f>
        <v>734.33333333333337</v>
      </c>
      <c r="I36" s="86">
        <f>VLOOKUP(E36,Cad.RateioConsumo!$B$4:$Q$9,11,FALSE)</f>
        <v>5.2499999999999998E-2</v>
      </c>
      <c r="J36" s="112" t="s">
        <v>143</v>
      </c>
      <c r="K36" s="113">
        <v>45995</v>
      </c>
      <c r="L36" s="113">
        <v>46015</v>
      </c>
      <c r="M36" s="114">
        <v>162.69</v>
      </c>
      <c r="N36" s="115">
        <v>1.142725</v>
      </c>
      <c r="O36" s="116">
        <f t="shared" si="28"/>
        <v>185.90993025</v>
      </c>
      <c r="P36" s="114">
        <v>824.67</v>
      </c>
      <c r="Q36" s="117">
        <f t="shared" si="29"/>
        <v>1.142725</v>
      </c>
      <c r="R36" s="116">
        <f t="shared" si="30"/>
        <v>942.37102574999994</v>
      </c>
      <c r="S36" s="118">
        <v>8.4700000000000006</v>
      </c>
      <c r="T36" s="119">
        <v>0.23</v>
      </c>
      <c r="U36" s="120">
        <v>7.4339999999999996E-3</v>
      </c>
      <c r="V36" s="120">
        <v>3.4283000000000001E-2</v>
      </c>
      <c r="W36" s="121">
        <f t="shared" si="31"/>
        <v>1.1427</v>
      </c>
      <c r="X36" s="122"/>
      <c r="Y36" s="4"/>
      <c r="Z36" s="114"/>
    </row>
    <row r="37" spans="1:29" ht="14.25" customHeight="1">
      <c r="A37" s="4" t="s">
        <v>284</v>
      </c>
      <c r="B37" s="4" t="str">
        <f t="shared" si="27"/>
        <v>3.312/2025</v>
      </c>
      <c r="C37" s="108" t="s">
        <v>57</v>
      </c>
      <c r="D37" s="56">
        <f>VLOOKUP(C37,Cad.Usinas!$A$4:$B$6,2,FALSE)</f>
        <v>3023637013</v>
      </c>
      <c r="E37" s="109" t="s">
        <v>77</v>
      </c>
      <c r="F37" s="33" t="str">
        <f>VLOOKUP(E37,Cad.RateioConsumo!$B$4:$Q$77,2,FALSE)</f>
        <v>Associação dos Moradores do Residencial Araçagy</v>
      </c>
      <c r="G37" s="56">
        <f>VLOOKUP(E37,Cad.RateioConsumo!$B$4:$Q$9,5,FALSE)</f>
        <v>3021150559</v>
      </c>
      <c r="H37" s="111">
        <f>VLOOKUP(E37,Cad.RateioConsumo!$B$4:$Q$9,7,FALSE)</f>
        <v>2086.4545454545455</v>
      </c>
      <c r="I37" s="86">
        <f>VLOOKUP(E37,Cad.RateioConsumo!$B$4:$Q$9,11,FALSE)</f>
        <v>0.107</v>
      </c>
      <c r="J37" s="112" t="s">
        <v>143</v>
      </c>
      <c r="K37" s="113">
        <v>45995</v>
      </c>
      <c r="L37" s="113">
        <v>46015</v>
      </c>
      <c r="M37" s="114">
        <v>374.43</v>
      </c>
      <c r="N37" s="115">
        <v>1.142725</v>
      </c>
      <c r="O37" s="116">
        <f t="shared" si="28"/>
        <v>427.87052175000002</v>
      </c>
      <c r="P37" s="114">
        <v>1682.32</v>
      </c>
      <c r="Q37" s="117">
        <f t="shared" si="29"/>
        <v>1.142725</v>
      </c>
      <c r="R37" s="116">
        <f t="shared" si="30"/>
        <v>1922.429122</v>
      </c>
      <c r="S37" s="118">
        <v>19.52</v>
      </c>
      <c r="T37" s="119">
        <v>0.23</v>
      </c>
      <c r="U37" s="120">
        <v>7.4339999999999996E-3</v>
      </c>
      <c r="V37" s="120">
        <v>3.4283000000000001E-2</v>
      </c>
      <c r="W37" s="121">
        <f t="shared" si="31"/>
        <v>1.1427</v>
      </c>
      <c r="X37" s="122"/>
      <c r="Y37" s="4"/>
      <c r="Z37" s="114"/>
    </row>
    <row r="38" spans="1:29" ht="14.25" customHeight="1">
      <c r="A38" s="4" t="s">
        <v>284</v>
      </c>
      <c r="B38" s="4" t="str">
        <f t="shared" si="27"/>
        <v>3.412/2025</v>
      </c>
      <c r="C38" s="108" t="s">
        <v>57</v>
      </c>
      <c r="D38" s="56">
        <f>VLOOKUP(C38,Cad.Usinas!$A$4:$B$6,2,FALSE)</f>
        <v>3023637013</v>
      </c>
      <c r="E38" s="109" t="s">
        <v>82</v>
      </c>
      <c r="F38" s="33" t="str">
        <f>VLOOKUP(E38,Cad.RateioConsumo!$B$4:$Q$77,2,FALSE)</f>
        <v>Antonio Jose Souza Filho</v>
      </c>
      <c r="G38" s="56">
        <f>VLOOKUP(E38,Cad.RateioConsumo!$B$4:$Q$9,5,FALSE)</f>
        <v>3007625048</v>
      </c>
      <c r="H38" s="111">
        <f>VLOOKUP(E38,Cad.RateioConsumo!$B$4:$Q$9,7,FALSE)</f>
        <v>417.15384615384613</v>
      </c>
      <c r="I38" s="86">
        <f>VLOOKUP(E38,Cad.RateioConsumo!$B$4:$Q$9,11,FALSE)</f>
        <v>2.98E-2</v>
      </c>
      <c r="J38" s="112" t="s">
        <v>143</v>
      </c>
      <c r="K38" s="123">
        <v>45996</v>
      </c>
      <c r="L38" s="123">
        <v>46015</v>
      </c>
      <c r="M38" s="114">
        <v>30</v>
      </c>
      <c r="N38" s="115">
        <v>1.142725</v>
      </c>
      <c r="O38" s="116">
        <f t="shared" si="28"/>
        <v>34.281750000000002</v>
      </c>
      <c r="P38" s="114">
        <v>452</v>
      </c>
      <c r="Q38" s="117">
        <f t="shared" si="29"/>
        <v>1.142725</v>
      </c>
      <c r="R38" s="116">
        <f t="shared" si="30"/>
        <v>516.51170000000002</v>
      </c>
      <c r="S38" s="118">
        <v>1.49</v>
      </c>
      <c r="T38" s="119">
        <v>0.23</v>
      </c>
      <c r="U38" s="120">
        <v>7.4339999999999996E-3</v>
      </c>
      <c r="V38" s="120">
        <v>3.4283000000000001E-2</v>
      </c>
      <c r="W38" s="121">
        <f t="shared" si="31"/>
        <v>1.1427</v>
      </c>
      <c r="X38" s="122"/>
      <c r="Y38" s="4"/>
      <c r="Z38" s="114"/>
    </row>
    <row r="39" spans="1:29" ht="14.25" customHeight="1" thickBot="1">
      <c r="A39" s="4" t="s">
        <v>284</v>
      </c>
      <c r="B39" s="4" t="str">
        <f t="shared" si="27"/>
        <v>3.5</v>
      </c>
      <c r="C39" s="108" t="s">
        <v>57</v>
      </c>
      <c r="D39" s="56">
        <f>VLOOKUP(C39,Cad.Usinas!$A$4:$B$6,2,FALSE)</f>
        <v>3023637013</v>
      </c>
      <c r="E39" s="109" t="s">
        <v>87</v>
      </c>
      <c r="F39" s="33" t="str">
        <f>VLOOKUP(E39,Cad.RateioConsumo!$B$4:$Q$77,2,FALSE)</f>
        <v>João Carlos Pereira Dutra Filho</v>
      </c>
      <c r="G39" s="56">
        <f>VLOOKUP(E39,Cad.RateioConsumo!$B$4:$Q$9,5,FALSE)</f>
        <v>1163310</v>
      </c>
      <c r="H39" s="111">
        <f>VLOOKUP(E39,Cad.RateioConsumo!$B$4:$Q$9,7,FALSE)</f>
        <v>848.69230769230774</v>
      </c>
      <c r="I39" s="86">
        <f>VLOOKUP(E39,Cad.RateioConsumo!$B$4:$Q$9,11,FALSE)</f>
        <v>6.0600000000000001E-2</v>
      </c>
      <c r="J39" s="112"/>
      <c r="K39" s="263"/>
      <c r="L39" s="263"/>
      <c r="M39" s="125"/>
      <c r="N39" s="115"/>
      <c r="O39" s="126">
        <f t="shared" si="28"/>
        <v>0</v>
      </c>
      <c r="P39" s="125"/>
      <c r="Q39" s="117">
        <f t="shared" si="29"/>
        <v>0</v>
      </c>
      <c r="R39" s="126">
        <f t="shared" si="30"/>
        <v>0</v>
      </c>
      <c r="S39" s="127"/>
      <c r="T39" s="119"/>
      <c r="U39" s="120"/>
      <c r="V39" s="120"/>
      <c r="W39" s="121"/>
      <c r="X39" s="128"/>
      <c r="Y39" s="4"/>
      <c r="Z39" s="125"/>
    </row>
    <row r="40" spans="1:29" ht="14.25" customHeight="1" thickBot="1">
      <c r="A40" s="4" t="s">
        <v>284</v>
      </c>
      <c r="B40" s="4" t="str">
        <f t="shared" si="27"/>
        <v>3.612/2025</v>
      </c>
      <c r="C40" s="108" t="s">
        <v>57</v>
      </c>
      <c r="D40" s="56">
        <f>VLOOKUP(C40,Cad.Usinas!$A$4:$B$6,2,FALSE)</f>
        <v>3023637013</v>
      </c>
      <c r="E40" s="109" t="s">
        <v>92</v>
      </c>
      <c r="F40" s="33" t="str">
        <f>VLOOKUP(E40,Cad.RateioConsumo!$B$4:$Q$77,2,FALSE)</f>
        <v>Patricia Maria Abreu Machado</v>
      </c>
      <c r="G40" s="56">
        <f>VLOOKUP(E40,Cad.RateioConsumo!$B$4:$Q$9,5,FALSE)</f>
        <v>3006793931</v>
      </c>
      <c r="H40" s="111">
        <f>VLOOKUP(E40,Cad.RateioConsumo!$B$4:$Q$9,7,FALSE)</f>
        <v>776.76923076923072</v>
      </c>
      <c r="I40" s="86">
        <f>VLOOKUP(E40,Cad.RateioConsumo!$B$4:$Q$9,11,FALSE)</f>
        <v>5.5500000000000001E-2</v>
      </c>
      <c r="J40" s="112" t="s">
        <v>143</v>
      </c>
      <c r="K40" s="124">
        <v>46020</v>
      </c>
      <c r="L40" s="124">
        <v>46029</v>
      </c>
      <c r="M40" s="125">
        <v>210.2</v>
      </c>
      <c r="N40" s="254">
        <v>1.1426259999999999</v>
      </c>
      <c r="O40" s="126">
        <f t="shared" si="28"/>
        <v>240.17998519999998</v>
      </c>
      <c r="P40" s="125">
        <v>871.79</v>
      </c>
      <c r="Q40" s="117">
        <f t="shared" si="29"/>
        <v>1.1426259999999999</v>
      </c>
      <c r="R40" s="126">
        <f t="shared" si="30"/>
        <v>996.12992053999994</v>
      </c>
      <c r="S40" s="129">
        <f>4.87+1.18</f>
        <v>6.05</v>
      </c>
      <c r="T40" s="119">
        <v>0.23</v>
      </c>
      <c r="U40" s="120">
        <v>7.4339999999999996E-3</v>
      </c>
      <c r="V40" s="120">
        <v>3.4283000000000001E-2</v>
      </c>
      <c r="W40" s="121">
        <f t="shared" si="31"/>
        <v>1.1427</v>
      </c>
      <c r="X40" s="255" t="s">
        <v>280</v>
      </c>
      <c r="Y40" s="256">
        <f>W40-N40</f>
        <v>7.4000000000129518E-5</v>
      </c>
      <c r="Z40" s="125"/>
    </row>
    <row r="41" spans="1:29" ht="14.25" customHeight="1" thickBot="1">
      <c r="A41" s="4" t="s">
        <v>284</v>
      </c>
      <c r="B41" s="4" t="str">
        <f t="shared" si="27"/>
        <v>3.712/2025</v>
      </c>
      <c r="C41" s="108" t="s">
        <v>57</v>
      </c>
      <c r="D41" s="56">
        <f>VLOOKUP(C41,Cad.Usinas!$A$4:$B$6,2,FALSE)</f>
        <v>3023637013</v>
      </c>
      <c r="E41" s="109" t="s">
        <v>96</v>
      </c>
      <c r="F41" s="59" t="str">
        <f>VLOOKUP(E41,Cad.RateioConsumo!$B$4:$Q$77,2,FALSE)</f>
        <v>Fatima Abdel Hafiz Khalifa Cavalcanti</v>
      </c>
      <c r="G41" s="56">
        <f>VLOOKUP(E41,Cad.RateioConsumo!$B$4:$Q$22,5,FALSE)</f>
        <v>38398091</v>
      </c>
      <c r="H41" s="111">
        <f>VLOOKUP(E41,Cad.RateioConsumo!$B$4:$Q$22,7,FALSE)</f>
        <v>1013.3846153846154</v>
      </c>
      <c r="I41" s="86">
        <f>VLOOKUP(E41,Cad.RateioConsumo!$B$4:$Q$22,11,FALSE)</f>
        <v>7.2400000000000006E-2</v>
      </c>
      <c r="J41" s="112" t="s">
        <v>143</v>
      </c>
      <c r="K41" s="263">
        <v>46011</v>
      </c>
      <c r="L41" s="263">
        <v>45663</v>
      </c>
      <c r="M41" s="125">
        <v>30</v>
      </c>
      <c r="N41" s="115">
        <v>1.1419999999999999</v>
      </c>
      <c r="O41" s="126">
        <f t="shared" si="28"/>
        <v>34.26</v>
      </c>
      <c r="P41" s="125">
        <v>1096</v>
      </c>
      <c r="Q41" s="117">
        <f t="shared" si="29"/>
        <v>1.1419999999999999</v>
      </c>
      <c r="R41" s="126">
        <f t="shared" si="30"/>
        <v>1251.6319999999998</v>
      </c>
      <c r="S41" s="129">
        <f>0.48+0.64</f>
        <v>1.1200000000000001</v>
      </c>
      <c r="T41" s="119">
        <v>0.23</v>
      </c>
      <c r="U41" s="120">
        <v>7.4339999999999996E-3</v>
      </c>
      <c r="V41" s="120">
        <v>3.4283000000000001E-2</v>
      </c>
      <c r="W41" s="121">
        <f t="shared" si="31"/>
        <v>1.1427</v>
      </c>
      <c r="X41" s="252">
        <f>W41-Q41</f>
        <v>7.0000000000014495E-4</v>
      </c>
      <c r="Y41" s="4"/>
      <c r="Z41" s="125"/>
    </row>
    <row r="42" spans="1:29" ht="14.25" customHeight="1" thickBot="1">
      <c r="A42" s="4"/>
      <c r="B42" s="4" t="str">
        <f t="shared" si="27"/>
        <v>3.012/2025</v>
      </c>
      <c r="C42" s="108" t="s">
        <v>57</v>
      </c>
      <c r="D42" s="56">
        <f>VLOOKUP(C42,Cad.Usinas!$A$4:$B$6,2,FALSE)</f>
        <v>3023637013</v>
      </c>
      <c r="E42" s="109" t="s">
        <v>101</v>
      </c>
      <c r="F42" s="33" t="str">
        <f>VLOOKUP(E42,Cad.RateioConsumo!$B$4:$Q$77,2,FALSE)</f>
        <v>Usina 3</v>
      </c>
      <c r="G42" s="56">
        <f>VLOOKUP(E42,Cad.RateioConsumo!$B$4:$Q$77,5,FALSE)</f>
        <v>3023637013</v>
      </c>
      <c r="H42" s="111">
        <f>VLOOKUP(E42,Cad.RateioConsumo!$B$4:$Q$77,7,FALSE)</f>
        <v>8931.2331002331011</v>
      </c>
      <c r="I42" s="86">
        <f>VLOOKUP(E42,Cad.RateioConsumo!$B$4:$Q$77,11,FALSE)</f>
        <v>0.67989999999999995</v>
      </c>
      <c r="J42" s="112" t="s">
        <v>143</v>
      </c>
      <c r="K42" s="124"/>
      <c r="L42" s="124"/>
      <c r="M42" s="125"/>
      <c r="N42" s="131"/>
      <c r="O42" s="126"/>
      <c r="P42" s="125"/>
      <c r="Q42" s="132"/>
      <c r="R42" s="126"/>
      <c r="S42" s="129"/>
      <c r="T42" s="119">
        <v>0.23</v>
      </c>
      <c r="U42" s="120">
        <v>7.4339999999999996E-3</v>
      </c>
      <c r="V42" s="120">
        <v>3.4283000000000001E-2</v>
      </c>
      <c r="W42" s="121">
        <f t="shared" si="31"/>
        <v>1.1427</v>
      </c>
      <c r="X42" s="130"/>
      <c r="Y42" s="4"/>
      <c r="Z42" s="125"/>
    </row>
    <row r="43" spans="1:29" ht="14.25" customHeight="1" thickBot="1">
      <c r="A43" s="4"/>
      <c r="B43" s="4" t="str">
        <f t="shared" si="27"/>
        <v>1.012/2025</v>
      </c>
      <c r="C43" s="108" t="s">
        <v>49</v>
      </c>
      <c r="D43" s="56">
        <f>VLOOKUP(C43,Cad.Usinas!$A$4:$B$6,2,FALSE)</f>
        <v>3023633492</v>
      </c>
      <c r="E43" s="109" t="s">
        <v>114</v>
      </c>
      <c r="F43" s="33" t="str">
        <f>VLOOKUP(E43,Cad.RateioConsumo!$B$4:$Q$77,2,FALSE)</f>
        <v>Usina 1</v>
      </c>
      <c r="G43" s="56">
        <f>VLOOKUP(E43,Cad.RateioConsumo!$B$4:$Q$77,5,FALSE)</f>
        <v>3023633492</v>
      </c>
      <c r="H43" s="111">
        <f>VLOOKUP(E43,Cad.RateioConsumo!$B$4:$Q$77,7,FALSE)</f>
        <v>14000</v>
      </c>
      <c r="I43" s="86">
        <f>VLOOKUP(E43,Cad.RateioConsumo!$B$4:$Q$77,11,FALSE)</f>
        <v>0.32010000000000005</v>
      </c>
      <c r="J43" s="112" t="s">
        <v>143</v>
      </c>
      <c r="K43" s="124"/>
      <c r="L43" s="124"/>
      <c r="M43" s="125">
        <v>0</v>
      </c>
      <c r="N43" s="131"/>
      <c r="O43" s="126"/>
      <c r="P43" s="125"/>
      <c r="Q43" s="132"/>
      <c r="R43" s="126"/>
      <c r="S43" s="129"/>
      <c r="T43" s="119">
        <v>0.23</v>
      </c>
      <c r="U43" s="120">
        <v>7.4339999999999996E-3</v>
      </c>
      <c r="V43" s="120">
        <v>3.4283000000000001E-2</v>
      </c>
      <c r="W43" s="121">
        <f t="shared" si="31"/>
        <v>1.1427</v>
      </c>
      <c r="X43" s="130"/>
      <c r="Y43" s="4" t="s">
        <v>144</v>
      </c>
      <c r="Z43" s="125"/>
    </row>
    <row r="44" spans="1:29" ht="14.25" customHeight="1" thickBot="1">
      <c r="A44" s="4" t="s">
        <v>284</v>
      </c>
      <c r="B44" s="4" t="str">
        <f t="shared" si="27"/>
        <v>2.112/2025</v>
      </c>
      <c r="C44" s="108" t="s">
        <v>53</v>
      </c>
      <c r="D44" s="56">
        <f>VLOOKUP(C44,Cad.Usinas!$A$4:$B$6,2,FALSE)</f>
        <v>3023594470</v>
      </c>
      <c r="E44" s="109" t="s">
        <v>103</v>
      </c>
      <c r="F44" s="33" t="str">
        <f>VLOOKUP(E44,Cad.RateioConsumo!$B$4:$Q$77,2,FALSE)</f>
        <v>Lucas Medeiros Lima</v>
      </c>
      <c r="G44" s="56">
        <f>VLOOKUP(E44,Cad.RateioConsumo!$B$4:$Q$77,5,FALSE)</f>
        <v>3002796782</v>
      </c>
      <c r="H44" s="111">
        <f>VLOOKUP(E44,Cad.RateioConsumo!$B$4:$Q$77,7,FALSE)</f>
        <v>1536.5</v>
      </c>
      <c r="I44" s="86">
        <f>VLOOKUP(E44,Cad.RateioConsumo!$B$4:$Q$77,11,FALSE)</f>
        <v>0.10979999999999999</v>
      </c>
      <c r="J44" s="112" t="s">
        <v>143</v>
      </c>
      <c r="K44" s="124">
        <v>46003</v>
      </c>
      <c r="L44" s="124">
        <v>46017</v>
      </c>
      <c r="M44" s="114">
        <v>80</v>
      </c>
      <c r="N44" s="115">
        <v>1.1419999999999999</v>
      </c>
      <c r="O44" s="116"/>
      <c r="P44" s="114">
        <v>1123</v>
      </c>
      <c r="Q44" s="117">
        <f t="shared" ref="Q44:Q45" si="32">W44</f>
        <v>1.1427</v>
      </c>
      <c r="R44" s="116">
        <f t="shared" ref="R44:R45" si="33">P44*Q44</f>
        <v>1283.2521000000002</v>
      </c>
      <c r="S44" s="118">
        <f>0.19+0.73</f>
        <v>0.91999999999999993</v>
      </c>
      <c r="T44" s="119">
        <v>0.23</v>
      </c>
      <c r="U44" s="120">
        <v>7.4339999999999996E-3</v>
      </c>
      <c r="V44" s="120">
        <v>3.4283000000000001E-2</v>
      </c>
      <c r="W44" s="121">
        <f t="shared" si="31"/>
        <v>1.1427</v>
      </c>
      <c r="X44" s="130">
        <f>225.26+524.3+84.04-391.98-62.01</f>
        <v>379.6099999999999</v>
      </c>
      <c r="Y44" s="4" t="s">
        <v>145</v>
      </c>
      <c r="Z44" s="114"/>
    </row>
    <row r="45" spans="1:29" ht="14.25" customHeight="1" thickBot="1">
      <c r="A45" s="4" t="s">
        <v>284</v>
      </c>
      <c r="B45" s="4" t="str">
        <f t="shared" si="27"/>
        <v>2.212/2025</v>
      </c>
      <c r="C45" s="108" t="s">
        <v>53</v>
      </c>
      <c r="D45" s="56">
        <f>VLOOKUP(C45,Cad.Usinas!$A$4:$B$6,2,FALSE)</f>
        <v>3023594470</v>
      </c>
      <c r="E45" s="109" t="s">
        <v>108</v>
      </c>
      <c r="F45" s="59" t="str">
        <f>VLOOKUP(E45,Cad.RateioConsumo!$B$4:$Q$77,2,FALSE)</f>
        <v>SORRISO SAUDE ODONTOLOGIA LTDA</v>
      </c>
      <c r="G45" s="56">
        <f>VLOOKUP(E45,Cad.RateioConsumo!$B$4:$Q$77,5,FALSE)</f>
        <v>3022893768</v>
      </c>
      <c r="H45" s="111">
        <f>VLOOKUP(E45,Cad.RateioConsumo!$B$4:$Q$77,7,FALSE)</f>
        <v>859</v>
      </c>
      <c r="I45" s="86">
        <f>VLOOKUP(E45,Cad.RateioConsumo!$B$4:$Q$77,11,FALSE)</f>
        <v>6.1400000000000003E-2</v>
      </c>
      <c r="J45" s="112" t="s">
        <v>143</v>
      </c>
      <c r="K45" s="124">
        <v>46000</v>
      </c>
      <c r="L45" s="124">
        <v>46007</v>
      </c>
      <c r="M45" s="114"/>
      <c r="N45" s="115"/>
      <c r="O45" s="116"/>
      <c r="P45" s="114">
        <v>917</v>
      </c>
      <c r="Q45" s="117">
        <f t="shared" si="32"/>
        <v>1.1427</v>
      </c>
      <c r="R45" s="116">
        <f t="shared" si="33"/>
        <v>1047.8559</v>
      </c>
      <c r="S45" s="118">
        <v>4.33</v>
      </c>
      <c r="T45" s="119">
        <v>0.23</v>
      </c>
      <c r="U45" s="120">
        <v>7.4339999999999996E-3</v>
      </c>
      <c r="V45" s="120">
        <v>3.4283000000000001E-2</v>
      </c>
      <c r="W45" s="121">
        <f t="shared" si="31"/>
        <v>1.1427</v>
      </c>
      <c r="X45" s="130">
        <f>-552.23-183.42+414.08</f>
        <v>-321.57</v>
      </c>
      <c r="Y45" s="4" t="s">
        <v>145</v>
      </c>
      <c r="Z45" s="114"/>
    </row>
    <row r="46" spans="1:29" ht="14.25" customHeight="1" thickBot="1">
      <c r="A46" s="4"/>
      <c r="B46" s="4" t="str">
        <f t="shared" si="27"/>
        <v>2.012/2025</v>
      </c>
      <c r="C46" s="108" t="s">
        <v>53</v>
      </c>
      <c r="D46" s="56">
        <f>VLOOKUP(C46,Cad.Usinas!$A$4:$B$6,2,FALSE)</f>
        <v>3023594470</v>
      </c>
      <c r="E46" s="109" t="s">
        <v>113</v>
      </c>
      <c r="F46" s="33" t="str">
        <f>VLOOKUP(E46,Cad.RateioConsumo!$B$4:$Q$77,2,FALSE)</f>
        <v>Usina 2</v>
      </c>
      <c r="G46" s="56">
        <f>VLOOKUP(E46,Cad.RateioConsumo!$B$4:$Q$77,5,FALSE)</f>
        <v>3023594470</v>
      </c>
      <c r="H46" s="111">
        <f>VLOOKUP(E46,Cad.RateioConsumo!$B$4:$Q$77,7,FALSE)</f>
        <v>14000</v>
      </c>
      <c r="I46" s="86">
        <f>VLOOKUP(E46,Cad.RateioConsumo!$B$4:$Q$77,11,FALSE)</f>
        <v>1</v>
      </c>
      <c r="J46" s="112" t="s">
        <v>143</v>
      </c>
      <c r="K46" s="124"/>
      <c r="L46" s="124"/>
      <c r="M46" s="114">
        <v>0</v>
      </c>
      <c r="N46" s="115"/>
      <c r="O46" s="116"/>
      <c r="P46" s="114">
        <v>0</v>
      </c>
      <c r="Q46" s="117"/>
      <c r="R46" s="116"/>
      <c r="S46" s="118"/>
      <c r="T46" s="119">
        <v>0.23</v>
      </c>
      <c r="U46" s="120">
        <v>7.4339999999999996E-3</v>
      </c>
      <c r="V46" s="120">
        <v>3.4283000000000001E-2</v>
      </c>
      <c r="W46" s="121">
        <f t="shared" si="31"/>
        <v>1.1427</v>
      </c>
      <c r="X46" s="130"/>
      <c r="Y46" s="4"/>
      <c r="Z46" s="114"/>
    </row>
    <row r="47" spans="1:29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50"/>
      <c r="L47" s="50"/>
      <c r="M47" s="4"/>
      <c r="N47" s="4"/>
      <c r="O47" s="106"/>
      <c r="P47" s="4"/>
      <c r="Q47" s="4"/>
      <c r="R47" s="106"/>
      <c r="S47" s="4"/>
      <c r="T47" s="4"/>
      <c r="U47" s="107"/>
      <c r="V47" s="107"/>
      <c r="W47" s="107"/>
      <c r="X47" s="106"/>
      <c r="Y47" s="4"/>
      <c r="Z47" s="4"/>
    </row>
    <row r="48" spans="1:29" ht="14.25" customHeight="1">
      <c r="A48" s="4"/>
      <c r="B48" s="4" t="str">
        <f t="shared" ref="B48:B59" si="34">E48&amp;J48</f>
        <v>3.111/2025</v>
      </c>
      <c r="C48" s="108" t="s">
        <v>57</v>
      </c>
      <c r="D48" s="56">
        <f>VLOOKUP(C48,Cad.Usinas!$A$4:$B$6,2,FALSE)</f>
        <v>3023637013</v>
      </c>
      <c r="E48" s="109" t="s">
        <v>70</v>
      </c>
      <c r="F48" s="110" t="str">
        <f>VLOOKUP(E48,Cad.RateioConsumo!$B$4:$Q$77,2,FALSE)</f>
        <v>Associação dos Moradores do Residencial Araçagy</v>
      </c>
      <c r="G48" s="56">
        <f>VLOOKUP(E48,Cad.RateioConsumo!$B$4:$Q$9,5,FALSE)</f>
        <v>3021142432</v>
      </c>
      <c r="H48" s="111">
        <f>VLOOKUP(E48,Cad.RateioConsumo!$B$4:$Q$9,7,FALSE)</f>
        <v>205.36363636363637</v>
      </c>
      <c r="I48" s="86">
        <f>VLOOKUP(E48,Cad.RateioConsumo!$B$4:$Q$9,11,FALSE)</f>
        <v>1.47E-2</v>
      </c>
      <c r="J48" s="112" t="s">
        <v>26</v>
      </c>
      <c r="K48" s="123">
        <v>45966</v>
      </c>
      <c r="L48" s="123">
        <v>45985</v>
      </c>
      <c r="M48" s="114">
        <v>100</v>
      </c>
      <c r="N48" s="115">
        <v>1.1719999999999999</v>
      </c>
      <c r="O48" s="116">
        <f t="shared" ref="O48:O54" si="35">M48*N48</f>
        <v>117.19999999999999</v>
      </c>
      <c r="P48" s="114">
        <v>156.81</v>
      </c>
      <c r="Q48" s="117">
        <f t="shared" ref="Q48:Q54" si="36">N48</f>
        <v>1.1719999999999999</v>
      </c>
      <c r="R48" s="116">
        <f t="shared" ref="R48:R54" si="37">P48*Q48</f>
        <v>183.78131999999999</v>
      </c>
      <c r="S48" s="118">
        <v>6.21</v>
      </c>
      <c r="T48" s="119">
        <v>0.23</v>
      </c>
      <c r="U48" s="120">
        <v>1.1709000000000001E-2</v>
      </c>
      <c r="V48" s="120">
        <v>5.3970999999999998E-2</v>
      </c>
      <c r="W48" s="121">
        <f t="shared" ref="W48:W59" si="38">ROUND(0.84318/((1-U48-V48)*(1-T48)),4)</f>
        <v>1.1719999999999999</v>
      </c>
      <c r="X48" s="122"/>
      <c r="Y48" s="4"/>
      <c r="Z48" s="114"/>
    </row>
    <row r="49" spans="1:26" ht="14.25" customHeight="1">
      <c r="A49" s="4"/>
      <c r="B49" s="4" t="str">
        <f t="shared" si="34"/>
        <v>3.211/2025</v>
      </c>
      <c r="C49" s="108" t="s">
        <v>57</v>
      </c>
      <c r="D49" s="56">
        <f>VLOOKUP(C49,Cad.Usinas!$A$4:$B$6,2,FALSE)</f>
        <v>3023637013</v>
      </c>
      <c r="E49" s="109" t="s">
        <v>75</v>
      </c>
      <c r="F49" s="110" t="str">
        <f>VLOOKUP(E49,Cad.RateioConsumo!$B$4:$Q$77,2,FALSE)</f>
        <v>Associação dos Moradores do Residencial Araçagy</v>
      </c>
      <c r="G49" s="56">
        <f>VLOOKUP(E49,Cad.RateioConsumo!$B$4:$Q$9,5,FALSE)</f>
        <v>3021149593</v>
      </c>
      <c r="H49" s="111">
        <f>VLOOKUP(E49,Cad.RateioConsumo!$B$4:$Q$9,7,FALSE)</f>
        <v>734.33333333333337</v>
      </c>
      <c r="I49" s="86">
        <f>VLOOKUP(E49,Cad.RateioConsumo!$B$4:$Q$9,11,FALSE)</f>
        <v>5.2499999999999998E-2</v>
      </c>
      <c r="J49" s="112" t="s">
        <v>26</v>
      </c>
      <c r="K49" s="123">
        <v>45966</v>
      </c>
      <c r="L49" s="123">
        <v>45985</v>
      </c>
      <c r="M49" s="114">
        <v>1086.92</v>
      </c>
      <c r="N49" s="115">
        <v>1.1720090000000001</v>
      </c>
      <c r="O49" s="116">
        <f t="shared" si="35"/>
        <v>1273.8800222800003</v>
      </c>
      <c r="P49" s="114">
        <v>9.11</v>
      </c>
      <c r="Q49" s="117">
        <f t="shared" si="36"/>
        <v>1.1720090000000001</v>
      </c>
      <c r="R49" s="116">
        <f t="shared" si="37"/>
        <v>10.677001990000001</v>
      </c>
      <c r="S49" s="118">
        <v>67.41</v>
      </c>
      <c r="T49" s="119">
        <v>0.23</v>
      </c>
      <c r="U49" s="120">
        <v>1.1709000000000001E-2</v>
      </c>
      <c r="V49" s="120">
        <v>5.3970999999999998E-2</v>
      </c>
      <c r="W49" s="121">
        <f t="shared" si="38"/>
        <v>1.1719999999999999</v>
      </c>
      <c r="X49" s="122"/>
      <c r="Y49" s="4"/>
      <c r="Z49" s="114"/>
    </row>
    <row r="50" spans="1:26" ht="14.25" customHeight="1">
      <c r="A50" s="4"/>
      <c r="B50" s="4" t="str">
        <f t="shared" si="34"/>
        <v>3.311/2025</v>
      </c>
      <c r="C50" s="108" t="s">
        <v>57</v>
      </c>
      <c r="D50" s="56">
        <f>VLOOKUP(C50,Cad.Usinas!$A$4:$B$6,2,FALSE)</f>
        <v>3023637013</v>
      </c>
      <c r="E50" s="109" t="s">
        <v>77</v>
      </c>
      <c r="F50" s="33" t="str">
        <f>VLOOKUP(E50,Cad.RateioConsumo!$B$4:$Q$77,2,FALSE)</f>
        <v>Associação dos Moradores do Residencial Araçagy</v>
      </c>
      <c r="G50" s="56">
        <f>VLOOKUP(E50,Cad.RateioConsumo!$B$4:$Q$9,5,FALSE)</f>
        <v>3021150559</v>
      </c>
      <c r="H50" s="111">
        <f>VLOOKUP(E50,Cad.RateioConsumo!$B$4:$Q$9,7,FALSE)</f>
        <v>2086.4545454545455</v>
      </c>
      <c r="I50" s="86">
        <f>VLOOKUP(E50,Cad.RateioConsumo!$B$4:$Q$9,11,FALSE)</f>
        <v>0.107</v>
      </c>
      <c r="J50" s="112" t="s">
        <v>26</v>
      </c>
      <c r="K50" s="123">
        <v>45966</v>
      </c>
      <c r="L50" s="123">
        <v>45985</v>
      </c>
      <c r="M50" s="114">
        <v>1012.83</v>
      </c>
      <c r="N50" s="115">
        <v>1.172013</v>
      </c>
      <c r="O50" s="116">
        <f t="shared" si="35"/>
        <v>1187.04992679</v>
      </c>
      <c r="P50" s="114">
        <v>1276.97</v>
      </c>
      <c r="Q50" s="117">
        <f t="shared" si="36"/>
        <v>1.172013</v>
      </c>
      <c r="R50" s="116">
        <f t="shared" si="37"/>
        <v>1496.6254406099999</v>
      </c>
      <c r="S50" s="118">
        <v>62.83</v>
      </c>
      <c r="T50" s="119">
        <v>0.23</v>
      </c>
      <c r="U50" s="120">
        <v>1.1709000000000001E-2</v>
      </c>
      <c r="V50" s="120">
        <v>5.3970999999999998E-2</v>
      </c>
      <c r="W50" s="121">
        <f>ROUND(0.84318/((1-U50-V50)*(1-T50)),4)</f>
        <v>1.1719999999999999</v>
      </c>
      <c r="X50" s="122"/>
      <c r="Y50" s="4"/>
      <c r="Z50" s="114"/>
    </row>
    <row r="51" spans="1:26" ht="14.25" customHeight="1">
      <c r="A51" s="4"/>
      <c r="B51" s="4" t="str">
        <f t="shared" si="34"/>
        <v>3.411/2025</v>
      </c>
      <c r="C51" s="108" t="s">
        <v>57</v>
      </c>
      <c r="D51" s="56">
        <f>VLOOKUP(C51,Cad.Usinas!$A$4:$B$6,2,FALSE)</f>
        <v>3023637013</v>
      </c>
      <c r="E51" s="109" t="s">
        <v>82</v>
      </c>
      <c r="F51" s="33" t="str">
        <f>VLOOKUP(E51,Cad.RateioConsumo!$B$4:$Q$77,2,FALSE)</f>
        <v>Antonio Jose Souza Filho</v>
      </c>
      <c r="G51" s="56">
        <f>VLOOKUP(E51,Cad.RateioConsumo!$B$4:$Q$9,5,FALSE)</f>
        <v>3007625048</v>
      </c>
      <c r="H51" s="111">
        <f>VLOOKUP(E51,Cad.RateioConsumo!$B$4:$Q$9,7,FALSE)</f>
        <v>417.15384615384613</v>
      </c>
      <c r="I51" s="86">
        <f>VLOOKUP(E51,Cad.RateioConsumo!$B$4:$Q$9,11,FALSE)</f>
        <v>2.98E-2</v>
      </c>
      <c r="J51" s="112" t="s">
        <v>26</v>
      </c>
      <c r="K51" s="123">
        <v>45967</v>
      </c>
      <c r="L51" s="123">
        <v>45985</v>
      </c>
      <c r="M51" s="114">
        <v>431.34</v>
      </c>
      <c r="N51" s="115">
        <v>1.171999</v>
      </c>
      <c r="O51" s="116">
        <f t="shared" si="35"/>
        <v>505.53004865999998</v>
      </c>
      <c r="P51" s="114">
        <v>36.65</v>
      </c>
      <c r="Q51" s="117">
        <f t="shared" si="36"/>
        <v>1.171999</v>
      </c>
      <c r="R51" s="116">
        <f t="shared" si="37"/>
        <v>42.953763349999996</v>
      </c>
      <c r="S51" s="118">
        <v>48</v>
      </c>
      <c r="T51" s="119">
        <v>0.23</v>
      </c>
      <c r="U51" s="120">
        <v>1.1709000000000001E-2</v>
      </c>
      <c r="V51" s="120">
        <v>5.3970999999999998E-2</v>
      </c>
      <c r="W51" s="121">
        <f>ROUND(0.84318/((1-U51-V51)*(1-T51)),4)</f>
        <v>1.1719999999999999</v>
      </c>
      <c r="X51" s="122"/>
      <c r="Y51" s="4"/>
      <c r="Z51" s="114"/>
    </row>
    <row r="52" spans="1:26" ht="14.25" customHeight="1" thickBot="1">
      <c r="A52" s="4"/>
      <c r="B52" s="4" t="str">
        <f t="shared" si="34"/>
        <v>3.511/2025</v>
      </c>
      <c r="C52" s="108" t="s">
        <v>57</v>
      </c>
      <c r="D52" s="56">
        <f>VLOOKUP(C52,Cad.Usinas!$A$4:$B$6,2,FALSE)</f>
        <v>3023637013</v>
      </c>
      <c r="E52" s="109" t="s">
        <v>87</v>
      </c>
      <c r="F52" s="33" t="str">
        <f>VLOOKUP(E52,Cad.RateioConsumo!$B$4:$Q$77,2,FALSE)</f>
        <v>João Carlos Pereira Dutra Filho</v>
      </c>
      <c r="G52" s="56">
        <f>VLOOKUP(E52,Cad.RateioConsumo!$B$4:$Q$9,5,FALSE)</f>
        <v>1163310</v>
      </c>
      <c r="H52" s="111">
        <f>VLOOKUP(E52,Cad.RateioConsumo!$B$4:$Q$9,7,FALSE)</f>
        <v>848.69230769230774</v>
      </c>
      <c r="I52" s="86">
        <f>VLOOKUP(E52,Cad.RateioConsumo!$B$4:$Q$9,11,FALSE)</f>
        <v>6.0600000000000001E-2</v>
      </c>
      <c r="J52" s="112" t="s">
        <v>26</v>
      </c>
      <c r="K52" s="124">
        <v>45959</v>
      </c>
      <c r="L52" s="124">
        <v>45967</v>
      </c>
      <c r="M52" s="125">
        <v>899.47</v>
      </c>
      <c r="N52" s="131">
        <v>1.1697219999999999</v>
      </c>
      <c r="O52" s="126">
        <f t="shared" si="35"/>
        <v>1052.12984734</v>
      </c>
      <c r="P52" s="125">
        <v>10.52</v>
      </c>
      <c r="Q52" s="117">
        <f t="shared" si="36"/>
        <v>1.1697219999999999</v>
      </c>
      <c r="R52" s="126">
        <f t="shared" si="37"/>
        <v>12.305475439999999</v>
      </c>
      <c r="S52" s="127">
        <v>57.1</v>
      </c>
      <c r="T52" s="119">
        <v>0.23</v>
      </c>
      <c r="U52" s="120">
        <v>1.1384999999999999E-2</v>
      </c>
      <c r="V52" s="120">
        <v>5.2488E-2</v>
      </c>
      <c r="W52" s="121">
        <f t="shared" si="38"/>
        <v>1.1698</v>
      </c>
      <c r="X52" s="122"/>
      <c r="Y52" s="4"/>
      <c r="Z52" s="125"/>
    </row>
    <row r="53" spans="1:26" ht="14.25" customHeight="1" thickBot="1">
      <c r="A53" s="4"/>
      <c r="B53" s="4" t="str">
        <f t="shared" si="34"/>
        <v>3.611/2025</v>
      </c>
      <c r="C53" s="108" t="s">
        <v>57</v>
      </c>
      <c r="D53" s="56">
        <f>VLOOKUP(C53,Cad.Usinas!$A$4:$B$6,2,FALSE)</f>
        <v>3023637013</v>
      </c>
      <c r="E53" s="109" t="s">
        <v>92</v>
      </c>
      <c r="F53" s="33" t="str">
        <f>VLOOKUP(E53,Cad.RateioConsumo!$B$4:$Q$77,2,FALSE)</f>
        <v>Patricia Maria Abreu Machado</v>
      </c>
      <c r="G53" s="56">
        <f>VLOOKUP(E53,Cad.RateioConsumo!$B$4:$Q$9,5,FALSE)</f>
        <v>3006793931</v>
      </c>
      <c r="H53" s="111">
        <f>VLOOKUP(E53,Cad.RateioConsumo!$B$4:$Q$9,7,FALSE)</f>
        <v>776.76923076923072</v>
      </c>
      <c r="I53" s="86">
        <f>VLOOKUP(E53,Cad.RateioConsumo!$B$4:$Q$9,11,FALSE)</f>
        <v>5.5500000000000001E-2</v>
      </c>
      <c r="J53" s="112" t="s">
        <v>26</v>
      </c>
      <c r="K53" s="133" t="s">
        <v>146</v>
      </c>
      <c r="L53" s="124">
        <v>45965</v>
      </c>
      <c r="M53" s="125">
        <v>850</v>
      </c>
      <c r="N53" s="131">
        <v>1.1697409999999999</v>
      </c>
      <c r="O53" s="126">
        <f t="shared" si="35"/>
        <v>994.2798499999999</v>
      </c>
      <c r="P53" s="125">
        <v>0</v>
      </c>
      <c r="Q53" s="117">
        <f t="shared" si="36"/>
        <v>1.1697409999999999</v>
      </c>
      <c r="R53" s="126">
        <f t="shared" si="37"/>
        <v>0</v>
      </c>
      <c r="S53" s="129">
        <v>56.52</v>
      </c>
      <c r="T53" s="119">
        <v>0.23</v>
      </c>
      <c r="U53" s="120">
        <v>1.1384999999999999E-2</v>
      </c>
      <c r="V53" s="120">
        <v>5.2488E-2</v>
      </c>
      <c r="W53" s="121">
        <f t="shared" si="38"/>
        <v>1.1698</v>
      </c>
      <c r="X53" s="122"/>
      <c r="Y53" s="4"/>
      <c r="Z53" s="125"/>
    </row>
    <row r="54" spans="1:26" ht="14.25" customHeight="1" thickBot="1">
      <c r="A54" s="4"/>
      <c r="B54" s="4" t="str">
        <f t="shared" si="34"/>
        <v>3.711/2025</v>
      </c>
      <c r="C54" s="108" t="s">
        <v>57</v>
      </c>
      <c r="D54" s="56">
        <f>VLOOKUP(C54,Cad.Usinas!$A$4:$B$6,2,FALSE)</f>
        <v>3023637013</v>
      </c>
      <c r="E54" s="109" t="s">
        <v>96</v>
      </c>
      <c r="F54" s="59" t="str">
        <f>VLOOKUP(E54,Cad.RateioConsumo!$B$4:$Q$77,2,FALSE)</f>
        <v>Fatima Abdel Hafiz Khalifa Cavalcanti</v>
      </c>
      <c r="G54" s="56">
        <f>VLOOKUP(E54,Cad.RateioConsumo!$B$4:$Q$22,5,FALSE)</f>
        <v>38398091</v>
      </c>
      <c r="H54" s="111">
        <f>VLOOKUP(E54,Cad.RateioConsumo!$B$4:$Q$22,7,FALSE)</f>
        <v>1013.3846153846154</v>
      </c>
      <c r="I54" s="86">
        <f>VLOOKUP(E54,Cad.RateioConsumo!$B$4:$Q$22,11,FALSE)</f>
        <v>7.2400000000000006E-2</v>
      </c>
      <c r="J54" s="112" t="s">
        <v>26</v>
      </c>
      <c r="K54" s="124">
        <v>45980</v>
      </c>
      <c r="L54" s="124">
        <v>45997</v>
      </c>
      <c r="M54" s="125">
        <v>1243.42</v>
      </c>
      <c r="N54" s="131">
        <v>1.169745</v>
      </c>
      <c r="O54" s="126">
        <f t="shared" si="35"/>
        <v>1454.4843279000002</v>
      </c>
      <c r="P54" s="125">
        <v>12.57</v>
      </c>
      <c r="Q54" s="117">
        <f t="shared" si="36"/>
        <v>1.169745</v>
      </c>
      <c r="R54" s="126">
        <f t="shared" si="37"/>
        <v>14.703694650000001</v>
      </c>
      <c r="S54" s="129">
        <v>86.6</v>
      </c>
      <c r="T54" s="119">
        <v>0.23</v>
      </c>
      <c r="U54" s="120">
        <v>1.1709000000000001E-2</v>
      </c>
      <c r="V54" s="120">
        <v>5.3970999999999998E-2</v>
      </c>
      <c r="W54" s="121">
        <f t="shared" si="38"/>
        <v>1.1719999999999999</v>
      </c>
      <c r="X54" s="122"/>
      <c r="Y54" s="4"/>
      <c r="Z54" s="125"/>
    </row>
    <row r="55" spans="1:26" ht="14.25" customHeight="1" thickBot="1">
      <c r="A55" s="4"/>
      <c r="B55" s="4" t="str">
        <f t="shared" si="34"/>
        <v>3.011/2025</v>
      </c>
      <c r="C55" s="108" t="s">
        <v>57</v>
      </c>
      <c r="D55" s="56">
        <f>VLOOKUP(C55,Cad.Usinas!$A$4:$B$6,2,FALSE)</f>
        <v>3023637013</v>
      </c>
      <c r="E55" s="109" t="s">
        <v>101</v>
      </c>
      <c r="F55" s="33" t="str">
        <f>VLOOKUP(E55,Cad.RateioConsumo!$B$4:$Q$77,2,FALSE)</f>
        <v>Usina 3</v>
      </c>
      <c r="G55" s="56">
        <f>VLOOKUP(E55,Cad.RateioConsumo!$B$4:$Q$77,5,FALSE)</f>
        <v>3023637013</v>
      </c>
      <c r="H55" s="111">
        <f>VLOOKUP(E55,Cad.RateioConsumo!$B$4:$Q$77,7,FALSE)</f>
        <v>8931.2331002331011</v>
      </c>
      <c r="I55" s="86">
        <f>VLOOKUP(E55,Cad.RateioConsumo!$B$4:$Q$77,11,FALSE)</f>
        <v>0.67989999999999995</v>
      </c>
      <c r="J55" s="112" t="s">
        <v>26</v>
      </c>
      <c r="K55" s="124"/>
      <c r="L55" s="124"/>
      <c r="M55" s="125">
        <v>0</v>
      </c>
      <c r="N55" s="131"/>
      <c r="O55" s="126"/>
      <c r="P55" s="125"/>
      <c r="Q55" s="132"/>
      <c r="R55" s="126"/>
      <c r="S55" s="129"/>
      <c r="T55" s="119">
        <v>0.23</v>
      </c>
      <c r="U55" s="120">
        <v>1.1709000000000001E-2</v>
      </c>
      <c r="V55" s="120">
        <v>5.3970999999999998E-2</v>
      </c>
      <c r="W55" s="121">
        <f t="shared" si="38"/>
        <v>1.1719999999999999</v>
      </c>
      <c r="X55" s="122"/>
      <c r="Y55" s="4"/>
      <c r="Z55" s="125"/>
    </row>
    <row r="56" spans="1:26" ht="14.25" customHeight="1" thickBot="1">
      <c r="A56" s="4"/>
      <c r="B56" s="4" t="str">
        <f t="shared" si="34"/>
        <v>1.011/2025</v>
      </c>
      <c r="C56" s="108" t="s">
        <v>49</v>
      </c>
      <c r="D56" s="56">
        <f>VLOOKUP(C56,Cad.Usinas!$A$4:$B$6,2,FALSE)</f>
        <v>3023633492</v>
      </c>
      <c r="E56" s="109" t="s">
        <v>114</v>
      </c>
      <c r="F56" s="33" t="str">
        <f>VLOOKUP(E56,Cad.RateioConsumo!$B$4:$Q$77,2,FALSE)</f>
        <v>Usina 1</v>
      </c>
      <c r="G56" s="56">
        <f>VLOOKUP(E56,Cad.RateioConsumo!$B$4:$Q$77,5,FALSE)</f>
        <v>3023633492</v>
      </c>
      <c r="H56" s="111">
        <f>VLOOKUP(E56,Cad.RateioConsumo!$B$4:$Q$77,7,FALSE)</f>
        <v>14000</v>
      </c>
      <c r="I56" s="86">
        <f>VLOOKUP(E56,Cad.RateioConsumo!$B$4:$Q$77,11,FALSE)</f>
        <v>0.32010000000000005</v>
      </c>
      <c r="J56" s="112" t="s">
        <v>26</v>
      </c>
      <c r="K56" s="124"/>
      <c r="L56" s="124"/>
      <c r="M56" s="125">
        <v>0</v>
      </c>
      <c r="N56" s="131"/>
      <c r="O56" s="126"/>
      <c r="P56" s="125"/>
      <c r="Q56" s="132"/>
      <c r="R56" s="126"/>
      <c r="S56" s="129"/>
      <c r="T56" s="119">
        <v>0.23</v>
      </c>
      <c r="U56" s="120">
        <v>1.1709000000000001E-2</v>
      </c>
      <c r="V56" s="120">
        <v>5.3970999999999998E-2</v>
      </c>
      <c r="W56" s="121">
        <f t="shared" si="38"/>
        <v>1.1719999999999999</v>
      </c>
      <c r="X56" s="122"/>
      <c r="Y56" s="4" t="s">
        <v>144</v>
      </c>
      <c r="Z56" s="125"/>
    </row>
    <row r="57" spans="1:26" ht="14.25" customHeight="1" thickBot="1">
      <c r="A57" s="4"/>
      <c r="B57" s="4" t="str">
        <f t="shared" si="34"/>
        <v>2.111/2025</v>
      </c>
      <c r="C57" s="108" t="s">
        <v>53</v>
      </c>
      <c r="D57" s="56">
        <f>VLOOKUP(C57,Cad.Usinas!$A$4:$B$6,2,FALSE)</f>
        <v>3023594470</v>
      </c>
      <c r="E57" s="109" t="s">
        <v>103</v>
      </c>
      <c r="F57" s="33" t="str">
        <f>VLOOKUP(E57,Cad.RateioConsumo!$B$4:$Q$77,2,FALSE)</f>
        <v>Lucas Medeiros Lima</v>
      </c>
      <c r="G57" s="56">
        <f>VLOOKUP(E57,Cad.RateioConsumo!$B$4:$Q$77,5,FALSE)</f>
        <v>3002796782</v>
      </c>
      <c r="H57" s="111">
        <f>VLOOKUP(E57,Cad.RateioConsumo!$B$4:$Q$77,7,FALSE)</f>
        <v>1536.5</v>
      </c>
      <c r="I57" s="86">
        <f>VLOOKUP(E57,Cad.RateioConsumo!$B$4:$Q$77,11,FALSE)</f>
        <v>0.10979999999999999</v>
      </c>
      <c r="J57" s="112" t="s">
        <v>26</v>
      </c>
      <c r="K57" s="124">
        <v>45972</v>
      </c>
      <c r="L57" s="124">
        <v>45979</v>
      </c>
      <c r="M57" s="114">
        <v>0</v>
      </c>
      <c r="N57" s="115"/>
      <c r="O57" s="116"/>
      <c r="P57" s="114">
        <v>1556</v>
      </c>
      <c r="Q57" s="117">
        <f t="shared" ref="Q57:Q58" si="39">W57</f>
        <v>1.1719999999999999</v>
      </c>
      <c r="R57" s="116">
        <f t="shared" ref="R57:R58" si="40">P57*Q57</f>
        <v>1823.6319999999998</v>
      </c>
      <c r="S57" s="118">
        <v>1.86</v>
      </c>
      <c r="T57" s="119">
        <v>0.23</v>
      </c>
      <c r="U57" s="120">
        <v>1.1709000000000001E-2</v>
      </c>
      <c r="V57" s="120">
        <v>5.3970999999999998E-2</v>
      </c>
      <c r="W57" s="121">
        <f t="shared" si="38"/>
        <v>1.1719999999999999</v>
      </c>
      <c r="X57" s="130">
        <f>961.08-702.62</f>
        <v>258.46000000000004</v>
      </c>
      <c r="Y57" s="4" t="s">
        <v>145</v>
      </c>
      <c r="Z57" s="114"/>
    </row>
    <row r="58" spans="1:26" ht="14.25" customHeight="1" thickBot="1">
      <c r="A58" s="4"/>
      <c r="B58" s="4" t="str">
        <f t="shared" si="34"/>
        <v>2.211/2025</v>
      </c>
      <c r="C58" s="108" t="s">
        <v>53</v>
      </c>
      <c r="D58" s="56">
        <f>VLOOKUP(C58,Cad.Usinas!$A$4:$B$6,2,FALSE)</f>
        <v>3023594470</v>
      </c>
      <c r="E58" s="109" t="s">
        <v>108</v>
      </c>
      <c r="F58" s="59" t="str">
        <f>VLOOKUP(E58,Cad.RateioConsumo!$B$4:$Q$77,2,FALSE)</f>
        <v>SORRISO SAUDE ODONTOLOGIA LTDA</v>
      </c>
      <c r="G58" s="56">
        <f>VLOOKUP(E58,Cad.RateioConsumo!$B$4:$Q$77,5,FALSE)</f>
        <v>3022893768</v>
      </c>
      <c r="H58" s="111">
        <f>VLOOKUP(E58,Cad.RateioConsumo!$B$4:$Q$77,7,FALSE)</f>
        <v>859</v>
      </c>
      <c r="I58" s="86">
        <f>VLOOKUP(E58,Cad.RateioConsumo!$B$4:$Q$77,11,FALSE)</f>
        <v>6.1400000000000003E-2</v>
      </c>
      <c r="J58" s="112" t="s">
        <v>26</v>
      </c>
      <c r="K58" s="124">
        <v>45968</v>
      </c>
      <c r="L58" s="124">
        <v>45978</v>
      </c>
      <c r="M58" s="114"/>
      <c r="N58" s="115"/>
      <c r="O58" s="116"/>
      <c r="P58" s="114">
        <v>902</v>
      </c>
      <c r="Q58" s="117">
        <f t="shared" si="39"/>
        <v>1.1719999999999999</v>
      </c>
      <c r="R58" s="116">
        <f t="shared" si="40"/>
        <v>1057.144</v>
      </c>
      <c r="S58" s="118">
        <v>6.21</v>
      </c>
      <c r="T58" s="119">
        <v>0.23</v>
      </c>
      <c r="U58" s="120">
        <v>1.1709000000000001E-2</v>
      </c>
      <c r="V58" s="120">
        <v>5.3970999999999998E-2</v>
      </c>
      <c r="W58" s="121">
        <f t="shared" si="38"/>
        <v>1.1719999999999999</v>
      </c>
      <c r="X58" s="130">
        <f>557.12-407.3</f>
        <v>149.82</v>
      </c>
      <c r="Y58" s="4" t="s">
        <v>145</v>
      </c>
      <c r="Z58" s="114"/>
    </row>
    <row r="59" spans="1:26" ht="14.25" customHeight="1" thickBot="1">
      <c r="A59" s="4"/>
      <c r="B59" s="4" t="str">
        <f t="shared" si="34"/>
        <v>2.011/2025</v>
      </c>
      <c r="C59" s="108" t="s">
        <v>53</v>
      </c>
      <c r="D59" s="56">
        <f>VLOOKUP(C59,Cad.Usinas!$A$4:$B$6,2,FALSE)</f>
        <v>3023594470</v>
      </c>
      <c r="E59" s="109" t="s">
        <v>113</v>
      </c>
      <c r="F59" s="33" t="str">
        <f>VLOOKUP(E59,Cad.RateioConsumo!$B$4:$Q$77,2,FALSE)</f>
        <v>Usina 2</v>
      </c>
      <c r="G59" s="56">
        <f>VLOOKUP(E59,Cad.RateioConsumo!$B$4:$Q$77,5,FALSE)</f>
        <v>3023594470</v>
      </c>
      <c r="H59" s="111">
        <f>VLOOKUP(E59,Cad.RateioConsumo!$B$4:$Q$77,7,FALSE)</f>
        <v>14000</v>
      </c>
      <c r="I59" s="86">
        <f>VLOOKUP(E59,Cad.RateioConsumo!$B$4:$Q$77,11,FALSE)</f>
        <v>1</v>
      </c>
      <c r="J59" s="112" t="s">
        <v>26</v>
      </c>
      <c r="K59" s="124"/>
      <c r="L59" s="124"/>
      <c r="M59" s="114">
        <v>0</v>
      </c>
      <c r="N59" s="115"/>
      <c r="O59" s="116"/>
      <c r="P59" s="114">
        <v>0</v>
      </c>
      <c r="Q59" s="117"/>
      <c r="R59" s="116"/>
      <c r="S59" s="118"/>
      <c r="T59" s="119">
        <v>0.23</v>
      </c>
      <c r="U59" s="120">
        <v>1.1709000000000001E-2</v>
      </c>
      <c r="V59" s="120">
        <v>5.3970999999999998E-2</v>
      </c>
      <c r="W59" s="121">
        <f t="shared" si="38"/>
        <v>1.1719999999999999</v>
      </c>
      <c r="X59" s="130"/>
      <c r="Y59" s="4"/>
      <c r="Z59" s="11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50"/>
      <c r="L60" s="50"/>
      <c r="M60" s="4"/>
      <c r="N60" s="4"/>
      <c r="O60" s="106"/>
      <c r="P60" s="4"/>
      <c r="Q60" s="4"/>
      <c r="R60" s="106"/>
      <c r="S60" s="4"/>
      <c r="T60" s="4"/>
      <c r="U60" s="107"/>
      <c r="V60" s="107"/>
      <c r="W60" s="107"/>
      <c r="X60" s="106"/>
      <c r="Y60" s="4"/>
      <c r="Z60" s="4"/>
    </row>
    <row r="61" spans="1:26" ht="6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50"/>
      <c r="L61" s="50"/>
      <c r="M61" s="4"/>
      <c r="N61" s="4"/>
      <c r="O61" s="106"/>
      <c r="P61" s="4"/>
      <c r="Q61" s="4"/>
      <c r="R61" s="106"/>
      <c r="S61" s="4"/>
      <c r="T61" s="4"/>
      <c r="U61" s="107"/>
      <c r="V61" s="107"/>
      <c r="W61" s="107"/>
      <c r="X61" s="106"/>
      <c r="Y61" s="4"/>
      <c r="Z61" s="4"/>
    </row>
    <row r="62" spans="1:26" ht="14.25" customHeight="1">
      <c r="A62" s="4"/>
      <c r="B62" s="4" t="str">
        <f t="shared" ref="B62:B69" si="41">E62&amp;J62</f>
        <v>3.110/2025</v>
      </c>
      <c r="C62" s="108" t="s">
        <v>57</v>
      </c>
      <c r="D62" s="56">
        <f>VLOOKUP(C62,Cad.Usinas!$A$4:$B$6,2,FALSE)</f>
        <v>3023637013</v>
      </c>
      <c r="E62" s="109" t="s">
        <v>70</v>
      </c>
      <c r="F62" s="110" t="str">
        <f>VLOOKUP(E62,Cad.RateioConsumo!$B$4:$Q$77,2,FALSE)</f>
        <v>Associação dos Moradores do Residencial Araçagy</v>
      </c>
      <c r="G62" s="56">
        <f>VLOOKUP(E62,Cad.RateioConsumo!$B$4:$Q$9,5,FALSE)</f>
        <v>3021142432</v>
      </c>
      <c r="H62" s="111">
        <f>VLOOKUP(E62,Cad.RateioConsumo!$B$4:$Q$9,7,FALSE)</f>
        <v>205.36363636363637</v>
      </c>
      <c r="I62" s="86">
        <f>VLOOKUP(E62,Cad.RateioConsumo!$B$4:$Q$9,11,FALSE)</f>
        <v>1.47E-2</v>
      </c>
      <c r="J62" s="112" t="s">
        <v>125</v>
      </c>
      <c r="K62" s="123">
        <v>45933</v>
      </c>
      <c r="L62" s="123">
        <v>45954</v>
      </c>
      <c r="M62" s="114">
        <v>100</v>
      </c>
      <c r="N62" s="115">
        <v>1.1696</v>
      </c>
      <c r="O62" s="116">
        <f t="shared" ref="O62:O65" si="42">M62*N62</f>
        <v>116.96</v>
      </c>
      <c r="P62" s="114">
        <v>123.85</v>
      </c>
      <c r="Q62" s="117">
        <f t="shared" ref="Q62:Q65" si="43">N62</f>
        <v>1.1696</v>
      </c>
      <c r="R62" s="116">
        <f t="shared" ref="R62:R65" si="44">P62*Q62</f>
        <v>144.85495999999998</v>
      </c>
      <c r="S62" s="118">
        <v>10.44</v>
      </c>
      <c r="T62" s="119">
        <v>0.23</v>
      </c>
      <c r="U62" s="120">
        <v>1.1384999999999999E-2</v>
      </c>
      <c r="V62" s="120">
        <v>5.2488E-2</v>
      </c>
      <c r="W62" s="121">
        <f t="shared" ref="W62:W67" si="45">ROUND(0.84318/((1-U62-V62)*(1-T62)),4)</f>
        <v>1.1698</v>
      </c>
      <c r="X62" s="253">
        <f t="shared" ref="X62:X64" si="46">W62-Q62</f>
        <v>1.9999999999997797E-4</v>
      </c>
      <c r="Y62" s="4"/>
      <c r="Z62" s="114"/>
    </row>
    <row r="63" spans="1:26" ht="14.25" customHeight="1">
      <c r="A63" s="4"/>
      <c r="B63" s="4" t="str">
        <f t="shared" si="41"/>
        <v>3.210/2025</v>
      </c>
      <c r="C63" s="108" t="s">
        <v>57</v>
      </c>
      <c r="D63" s="56">
        <f>VLOOKUP(C63,Cad.Usinas!$A$4:$B$6,2,FALSE)</f>
        <v>3023637013</v>
      </c>
      <c r="E63" s="109" t="s">
        <v>75</v>
      </c>
      <c r="F63" s="110" t="str">
        <f>VLOOKUP(E63,Cad.RateioConsumo!$B$4:$Q$77,2,FALSE)</f>
        <v>Associação dos Moradores do Residencial Araçagy</v>
      </c>
      <c r="G63" s="56">
        <f>VLOOKUP(E63,Cad.RateioConsumo!$B$4:$Q$9,5,FALSE)</f>
        <v>3021149593</v>
      </c>
      <c r="H63" s="111">
        <f>VLOOKUP(E63,Cad.RateioConsumo!$B$4:$Q$9,7,FALSE)</f>
        <v>734.33333333333337</v>
      </c>
      <c r="I63" s="86">
        <f>VLOOKUP(E63,Cad.RateioConsumo!$B$4:$Q$9,11,FALSE)</f>
        <v>5.2499999999999998E-2</v>
      </c>
      <c r="J63" s="112" t="s">
        <v>125</v>
      </c>
      <c r="K63" s="123">
        <v>45933</v>
      </c>
      <c r="L63" s="123">
        <v>45954</v>
      </c>
      <c r="M63" s="114">
        <v>165.2</v>
      </c>
      <c r="N63" s="115">
        <v>1.169673</v>
      </c>
      <c r="O63" s="116">
        <f t="shared" si="42"/>
        <v>193.22997959999998</v>
      </c>
      <c r="P63" s="114">
        <v>857.74</v>
      </c>
      <c r="Q63" s="117">
        <f t="shared" si="43"/>
        <v>1.169673</v>
      </c>
      <c r="R63" s="116">
        <f t="shared" si="44"/>
        <v>1003.27531902</v>
      </c>
      <c r="S63" s="118">
        <v>17.260000000000002</v>
      </c>
      <c r="T63" s="119">
        <v>0.23</v>
      </c>
      <c r="U63" s="120">
        <v>1.1384999999999999E-2</v>
      </c>
      <c r="V63" s="120">
        <v>5.2488E-2</v>
      </c>
      <c r="W63" s="121">
        <f t="shared" si="45"/>
        <v>1.1698</v>
      </c>
      <c r="X63" s="253">
        <f t="shared" si="46"/>
        <v>1.2699999999998823E-4</v>
      </c>
      <c r="Y63" s="4"/>
      <c r="Z63" s="114"/>
    </row>
    <row r="64" spans="1:26" ht="14.25" customHeight="1">
      <c r="A64" s="4"/>
      <c r="B64" s="4" t="str">
        <f t="shared" si="41"/>
        <v>3.310/2025</v>
      </c>
      <c r="C64" s="108" t="s">
        <v>57</v>
      </c>
      <c r="D64" s="56">
        <f>VLOOKUP(C64,Cad.Usinas!$A$4:$B$6,2,FALSE)</f>
        <v>3023637013</v>
      </c>
      <c r="E64" s="109" t="s">
        <v>77</v>
      </c>
      <c r="F64" s="33" t="str">
        <f>VLOOKUP(E64,Cad.RateioConsumo!$B$4:$Q$77,2,FALSE)</f>
        <v>Associação dos Moradores do Residencial Araçagy</v>
      </c>
      <c r="G64" s="56">
        <f>VLOOKUP(E64,Cad.RateioConsumo!$B$4:$Q$9,5,FALSE)</f>
        <v>3021150559</v>
      </c>
      <c r="H64" s="111">
        <f>VLOOKUP(E64,Cad.RateioConsumo!$B$4:$Q$9,7,FALSE)</f>
        <v>2086.4545454545455</v>
      </c>
      <c r="I64" s="86">
        <f>VLOOKUP(E64,Cad.RateioConsumo!$B$4:$Q$9,11,FALSE)</f>
        <v>0.107</v>
      </c>
      <c r="J64" s="112" t="s">
        <v>125</v>
      </c>
      <c r="K64" s="123">
        <v>45933</v>
      </c>
      <c r="L64" s="123">
        <v>45954</v>
      </c>
      <c r="M64" s="114">
        <v>100</v>
      </c>
      <c r="N64" s="115">
        <v>1.1696</v>
      </c>
      <c r="O64" s="116">
        <f t="shared" si="42"/>
        <v>116.96</v>
      </c>
      <c r="P64" s="114">
        <v>1875.71</v>
      </c>
      <c r="Q64" s="117">
        <f t="shared" si="43"/>
        <v>1.1696</v>
      </c>
      <c r="R64" s="116">
        <f t="shared" si="44"/>
        <v>2193.8304159999998</v>
      </c>
      <c r="S64" s="118">
        <v>10.44</v>
      </c>
      <c r="T64" s="119">
        <v>0.23</v>
      </c>
      <c r="U64" s="120">
        <v>1.1384999999999999E-2</v>
      </c>
      <c r="V64" s="120">
        <v>5.2488E-2</v>
      </c>
      <c r="W64" s="121">
        <f t="shared" si="45"/>
        <v>1.1698</v>
      </c>
      <c r="X64" s="253">
        <f t="shared" si="46"/>
        <v>1.9999999999997797E-4</v>
      </c>
      <c r="Y64" s="4"/>
      <c r="Z64" s="114"/>
    </row>
    <row r="65" spans="1:26" ht="14.25" customHeight="1">
      <c r="A65" s="4"/>
      <c r="B65" s="4" t="str">
        <f t="shared" si="41"/>
        <v>3.410/2025</v>
      </c>
      <c r="C65" s="108" t="s">
        <v>57</v>
      </c>
      <c r="D65" s="56">
        <f>VLOOKUP(C65,Cad.Usinas!$A$4:$B$6,2,FALSE)</f>
        <v>3023637013</v>
      </c>
      <c r="E65" s="109" t="s">
        <v>82</v>
      </c>
      <c r="F65" s="33" t="str">
        <f>VLOOKUP(E65,Cad.RateioConsumo!$B$4:$Q$77,2,FALSE)</f>
        <v>Antonio Jose Souza Filho</v>
      </c>
      <c r="G65" s="56">
        <f>VLOOKUP(E65,Cad.RateioConsumo!$B$4:$Q$9,5,FALSE)</f>
        <v>3007625048</v>
      </c>
      <c r="H65" s="111">
        <f>VLOOKUP(E65,Cad.RateioConsumo!$B$4:$Q$9,7,FALSE)</f>
        <v>417.15384615384613</v>
      </c>
      <c r="I65" s="86">
        <f>VLOOKUP(E65,Cad.RateioConsumo!$B$4:$Q$9,11,FALSE)</f>
        <v>2.98E-2</v>
      </c>
      <c r="J65" s="112" t="s">
        <v>125</v>
      </c>
      <c r="K65" s="123">
        <v>45936</v>
      </c>
      <c r="L65" s="123">
        <v>45954</v>
      </c>
      <c r="M65" s="114">
        <v>30</v>
      </c>
      <c r="N65" s="115">
        <v>1.1696</v>
      </c>
      <c r="O65" s="116">
        <f t="shared" si="42"/>
        <v>35.088000000000001</v>
      </c>
      <c r="P65" s="114">
        <v>476</v>
      </c>
      <c r="Q65" s="117">
        <f t="shared" si="43"/>
        <v>1.1696</v>
      </c>
      <c r="R65" s="116">
        <f t="shared" si="44"/>
        <v>556.7296</v>
      </c>
      <c r="S65" s="118">
        <v>3</v>
      </c>
      <c r="T65" s="119">
        <v>0.23</v>
      </c>
      <c r="U65" s="120">
        <v>1.1384999999999999E-2</v>
      </c>
      <c r="V65" s="120">
        <v>5.2488E-2</v>
      </c>
      <c r="W65" s="121">
        <f t="shared" si="45"/>
        <v>1.1698</v>
      </c>
      <c r="X65" s="253">
        <f>W65-Q65</f>
        <v>1.9999999999997797E-4</v>
      </c>
      <c r="Y65" s="4"/>
      <c r="Z65" s="114"/>
    </row>
    <row r="66" spans="1:26" ht="14.25" customHeight="1" thickBot="1">
      <c r="A66" s="4"/>
      <c r="B66" s="4" t="str">
        <f t="shared" si="41"/>
        <v>3.010/2025</v>
      </c>
      <c r="C66" s="108" t="s">
        <v>57</v>
      </c>
      <c r="D66" s="56">
        <f>VLOOKUP(C66,Cad.Usinas!$A$4:$B$6,2,FALSE)</f>
        <v>3023637013</v>
      </c>
      <c r="E66" s="109" t="s">
        <v>101</v>
      </c>
      <c r="F66" s="33" t="str">
        <f>VLOOKUP(E66,Cad.RateioConsumo!$B$4:$Q$77,2,FALSE)</f>
        <v>Usina 3</v>
      </c>
      <c r="G66" s="56">
        <f>VLOOKUP(E66,Cad.RateioConsumo!$B$4:$Q$77,5,FALSE)</f>
        <v>3023637013</v>
      </c>
      <c r="H66" s="111">
        <f>VLOOKUP(E66,Cad.RateioConsumo!$B$4:$Q$77,7,FALSE)</f>
        <v>8931.2331002331011</v>
      </c>
      <c r="I66" s="86">
        <f>VLOOKUP(E66,Cad.RateioConsumo!$B$4:$Q$77,11,FALSE)</f>
        <v>0.67989999999999995</v>
      </c>
      <c r="J66" s="112" t="s">
        <v>125</v>
      </c>
      <c r="K66" s="124"/>
      <c r="L66" s="124"/>
      <c r="M66" s="125"/>
      <c r="N66" s="131"/>
      <c r="O66" s="126"/>
      <c r="P66" s="125"/>
      <c r="Q66" s="132"/>
      <c r="R66" s="126"/>
      <c r="S66" s="129"/>
      <c r="T66" s="119">
        <v>0.23</v>
      </c>
      <c r="U66" s="120">
        <v>1.1384999999999999E-2</v>
      </c>
      <c r="V66" s="120">
        <v>5.2488E-2</v>
      </c>
      <c r="W66" s="121">
        <f t="shared" si="45"/>
        <v>1.1698</v>
      </c>
      <c r="X66" s="130"/>
      <c r="Y66" s="4"/>
      <c r="Z66" s="125"/>
    </row>
    <row r="67" spans="1:26" ht="14.25" customHeight="1" thickBot="1">
      <c r="A67" s="4"/>
      <c r="B67" s="4" t="str">
        <f t="shared" si="41"/>
        <v>1.010/2025</v>
      </c>
      <c r="C67" s="108" t="s">
        <v>49</v>
      </c>
      <c r="D67" s="56">
        <f>VLOOKUP(C67,Cad.Usinas!$A$4:$B$6,2,FALSE)</f>
        <v>3023633492</v>
      </c>
      <c r="E67" s="109" t="s">
        <v>114</v>
      </c>
      <c r="F67" s="33" t="str">
        <f>VLOOKUP(E67,Cad.RateioConsumo!$B$4:$Q$77,2,FALSE)</f>
        <v>Usina 1</v>
      </c>
      <c r="G67" s="56">
        <f>VLOOKUP(E67,Cad.RateioConsumo!$B$4:$Q$77,5,FALSE)</f>
        <v>3023633492</v>
      </c>
      <c r="H67" s="111">
        <f>VLOOKUP(E67,Cad.RateioConsumo!$B$4:$Q$77,7,FALSE)</f>
        <v>14000</v>
      </c>
      <c r="I67" s="86">
        <f>VLOOKUP(E67,Cad.RateioConsumo!$B$4:$Q$77,11,FALSE)</f>
        <v>0.32010000000000005</v>
      </c>
      <c r="J67" s="112" t="s">
        <v>125</v>
      </c>
      <c r="K67" s="124"/>
      <c r="L67" s="124"/>
      <c r="M67" s="125">
        <v>0</v>
      </c>
      <c r="N67" s="131"/>
      <c r="O67" s="126"/>
      <c r="P67" s="125"/>
      <c r="Q67" s="132"/>
      <c r="R67" s="126"/>
      <c r="S67" s="129"/>
      <c r="T67" s="119">
        <v>0.23</v>
      </c>
      <c r="U67" s="120">
        <v>1.1384999999999999E-2</v>
      </c>
      <c r="V67" s="120">
        <v>5.2488E-2</v>
      </c>
      <c r="W67" s="121">
        <f t="shared" si="45"/>
        <v>1.1698</v>
      </c>
      <c r="X67" s="130"/>
      <c r="Y67" s="4"/>
      <c r="Z67" s="125"/>
    </row>
    <row r="68" spans="1:26" ht="14.25" customHeight="1" thickBot="1">
      <c r="A68" s="4"/>
      <c r="B68" s="4" t="str">
        <f t="shared" si="41"/>
        <v>2.1</v>
      </c>
      <c r="C68" s="108" t="s">
        <v>53</v>
      </c>
      <c r="D68" s="56">
        <f>VLOOKUP(C68,Cad.Usinas!$A$4:$B$6,2,FALSE)</f>
        <v>3023594470</v>
      </c>
      <c r="E68" s="109" t="s">
        <v>103</v>
      </c>
      <c r="F68" s="33" t="str">
        <f>VLOOKUP(E68,Cad.RateioConsumo!$B$4:$Q$77,2,FALSE)</f>
        <v>Lucas Medeiros Lima</v>
      </c>
      <c r="G68" s="56">
        <f>VLOOKUP(E68,Cad.RateioConsumo!$B$4:$Q$77,5,FALSE)</f>
        <v>3002796782</v>
      </c>
      <c r="H68" s="111">
        <f>VLOOKUP(E68,Cad.RateioConsumo!$B$4:$Q$77,7,FALSE)</f>
        <v>1536.5</v>
      </c>
      <c r="I68" s="86">
        <f>VLOOKUP(E68,Cad.RateioConsumo!$B$4:$Q$77,11,FALSE)</f>
        <v>0.10979999999999999</v>
      </c>
      <c r="J68" s="134"/>
      <c r="K68" s="124"/>
      <c r="L68" s="124"/>
      <c r="M68" s="125"/>
      <c r="N68" s="131"/>
      <c r="O68" s="126"/>
      <c r="P68" s="125"/>
      <c r="Q68" s="132"/>
      <c r="R68" s="126"/>
      <c r="S68" s="129"/>
      <c r="T68" s="119"/>
      <c r="U68" s="120"/>
      <c r="V68" s="120"/>
      <c r="W68" s="121"/>
      <c r="X68" s="130"/>
      <c r="Y68" s="4"/>
      <c r="Z68" s="125"/>
    </row>
    <row r="69" spans="1:26" ht="14.25" customHeight="1" thickBot="1">
      <c r="A69" s="4"/>
      <c r="B69" s="4" t="str">
        <f t="shared" si="41"/>
        <v>2.010/2025</v>
      </c>
      <c r="C69" s="108" t="s">
        <v>53</v>
      </c>
      <c r="D69" s="56">
        <f>VLOOKUP(C69,Cad.Usinas!$A$4:$B$6,2,FALSE)</f>
        <v>3023594470</v>
      </c>
      <c r="E69" s="109" t="s">
        <v>113</v>
      </c>
      <c r="F69" s="33" t="str">
        <f>VLOOKUP(E69,Cad.RateioConsumo!$B$4:$Q$77,2,FALSE)</f>
        <v>Usina 2</v>
      </c>
      <c r="G69" s="56">
        <f>VLOOKUP(E69,Cad.RateioConsumo!$B$4:$Q$77,5,FALSE)</f>
        <v>3023594470</v>
      </c>
      <c r="H69" s="111">
        <f>VLOOKUP(E69,Cad.RateioConsumo!$B$4:$Q$77,7,FALSE)</f>
        <v>14000</v>
      </c>
      <c r="I69" s="86">
        <f>VLOOKUP(E69,Cad.RateioConsumo!$B$4:$Q$77,11,FALSE)</f>
        <v>1</v>
      </c>
      <c r="J69" s="112" t="s">
        <v>125</v>
      </c>
      <c r="K69" s="124"/>
      <c r="L69" s="124"/>
      <c r="M69" s="125">
        <v>0</v>
      </c>
      <c r="N69" s="131"/>
      <c r="O69" s="126"/>
      <c r="P69" s="125">
        <v>0</v>
      </c>
      <c r="Q69" s="132"/>
      <c r="R69" s="126"/>
      <c r="S69" s="129"/>
      <c r="T69" s="119">
        <v>0.23</v>
      </c>
      <c r="U69" s="120">
        <v>1.1384999999999999E-2</v>
      </c>
      <c r="V69" s="120">
        <v>5.2488E-2</v>
      </c>
      <c r="W69" s="121">
        <f>ROUND(0.84318/((1-U69-V69)*(1-T69)),4)</f>
        <v>1.1698</v>
      </c>
      <c r="X69" s="130"/>
      <c r="Y69" s="4"/>
      <c r="Z69" s="125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50"/>
      <c r="L70" s="50"/>
      <c r="M70" s="4"/>
      <c r="N70" s="4"/>
      <c r="O70" s="106"/>
      <c r="P70" s="4"/>
      <c r="Q70" s="4"/>
      <c r="R70" s="106"/>
      <c r="S70" s="4"/>
      <c r="T70" s="4"/>
      <c r="U70" s="107"/>
      <c r="V70" s="107"/>
      <c r="W70" s="107"/>
      <c r="X70" s="106"/>
      <c r="Y70" s="4"/>
      <c r="Z70" s="4"/>
    </row>
    <row r="71" spans="1:26" ht="14.25" customHeight="1">
      <c r="A71" s="4"/>
      <c r="B71" s="4" t="str">
        <f t="shared" ref="B71:B79" si="47">E71&amp;J71</f>
        <v>3.109/2025</v>
      </c>
      <c r="C71" s="108" t="s">
        <v>57</v>
      </c>
      <c r="D71" s="56">
        <f>VLOOKUP(C71,Cad.Usinas!$A$4:$B$6,2,FALSE)</f>
        <v>3023637013</v>
      </c>
      <c r="E71" s="109" t="s">
        <v>70</v>
      </c>
      <c r="F71" s="33" t="str">
        <f>VLOOKUP(E71,Cad.RateioConsumo!$B$4:$Q$77,2,FALSE)</f>
        <v>Associação dos Moradores do Residencial Araçagy</v>
      </c>
      <c r="G71" s="56">
        <f>VLOOKUP(E71,Cad.RateioConsumo!$B$4:$Q$9,5,FALSE)</f>
        <v>3021142432</v>
      </c>
      <c r="H71" s="111">
        <f>VLOOKUP(E71,Cad.RateioConsumo!$B$4:$Q$9,7,FALSE)</f>
        <v>205.36363636363637</v>
      </c>
      <c r="I71" s="86">
        <f>VLOOKUP(E71,Cad.RateioConsumo!$B$4:$Q$9,11,FALSE)</f>
        <v>1.47E-2</v>
      </c>
      <c r="J71" s="112" t="s">
        <v>124</v>
      </c>
      <c r="K71" s="123">
        <v>45903</v>
      </c>
      <c r="L71" s="123">
        <v>45924</v>
      </c>
      <c r="M71" s="114">
        <v>100</v>
      </c>
      <c r="N71" s="115">
        <v>1.0037</v>
      </c>
      <c r="O71" s="116">
        <f t="shared" ref="O71:O74" si="48">M71*N71</f>
        <v>100.37</v>
      </c>
      <c r="P71" s="114">
        <v>135.84</v>
      </c>
      <c r="Q71" s="117">
        <f t="shared" ref="Q71:Q74" si="49">N71</f>
        <v>1.0037</v>
      </c>
      <c r="R71" s="116">
        <f t="shared" ref="R71:R74" si="50">P71*Q71</f>
        <v>136.34260800000001</v>
      </c>
      <c r="S71" s="118">
        <v>10.63</v>
      </c>
      <c r="T71" s="119">
        <v>0.23</v>
      </c>
      <c r="U71" s="120">
        <v>6.9319999999999998E-3</v>
      </c>
      <c r="V71" s="120">
        <v>3.2010999999999998E-2</v>
      </c>
      <c r="W71" s="121">
        <f t="shared" ref="W71:W77" si="51">Q71</f>
        <v>1.0037</v>
      </c>
      <c r="X71" s="122">
        <f t="shared" ref="X71:X74" si="52">W71-Q71</f>
        <v>0</v>
      </c>
      <c r="Y71" s="4"/>
      <c r="Z71" s="114"/>
    </row>
    <row r="72" spans="1:26" ht="14.25" customHeight="1">
      <c r="A72" s="4"/>
      <c r="B72" s="4" t="str">
        <f t="shared" si="47"/>
        <v>3.209/2025</v>
      </c>
      <c r="C72" s="108" t="s">
        <v>57</v>
      </c>
      <c r="D72" s="56">
        <f>VLOOKUP(C72,Cad.Usinas!$A$4:$B$6,2,FALSE)</f>
        <v>3023637013</v>
      </c>
      <c r="E72" s="109" t="s">
        <v>75</v>
      </c>
      <c r="F72" s="33" t="str">
        <f>VLOOKUP(E72,Cad.RateioConsumo!$B$4:$Q$77,2,FALSE)</f>
        <v>Associação dos Moradores do Residencial Araçagy</v>
      </c>
      <c r="G72" s="56">
        <f>VLOOKUP(E72,Cad.RateioConsumo!$B$4:$Q$9,5,FALSE)</f>
        <v>3021149593</v>
      </c>
      <c r="H72" s="111">
        <f>VLOOKUP(E72,Cad.RateioConsumo!$B$4:$Q$9,7,FALSE)</f>
        <v>734.33333333333337</v>
      </c>
      <c r="I72" s="86">
        <f>VLOOKUP(E72,Cad.RateioConsumo!$B$4:$Q$9,11,FALSE)</f>
        <v>5.2499999999999998E-2</v>
      </c>
      <c r="J72" s="112" t="s">
        <v>124</v>
      </c>
      <c r="K72" s="123">
        <v>45903</v>
      </c>
      <c r="L72" s="123">
        <v>45924</v>
      </c>
      <c r="M72" s="114">
        <v>53.93</v>
      </c>
      <c r="N72" s="115">
        <v>1.0035229999999999</v>
      </c>
      <c r="O72" s="116">
        <f t="shared" si="48"/>
        <v>54.11999539</v>
      </c>
      <c r="P72" s="114">
        <v>857.27</v>
      </c>
      <c r="Q72" s="117">
        <f t="shared" si="49"/>
        <v>1.0035229999999999</v>
      </c>
      <c r="R72" s="116">
        <f t="shared" si="50"/>
        <v>860.29016220999995</v>
      </c>
      <c r="S72" s="118">
        <v>5.73</v>
      </c>
      <c r="T72" s="119">
        <v>0.23</v>
      </c>
      <c r="U72" s="120">
        <v>6.9319999999999998E-3</v>
      </c>
      <c r="V72" s="120">
        <v>3.2010999999999998E-2</v>
      </c>
      <c r="W72" s="121">
        <f t="shared" si="51"/>
        <v>1.0035229999999999</v>
      </c>
      <c r="X72" s="122">
        <f t="shared" si="52"/>
        <v>0</v>
      </c>
      <c r="Y72" s="4"/>
      <c r="Z72" s="114"/>
    </row>
    <row r="73" spans="1:26" ht="14.25" customHeight="1">
      <c r="A73" s="4"/>
      <c r="B73" s="4" t="str">
        <f t="shared" si="47"/>
        <v>3.309/2025</v>
      </c>
      <c r="C73" s="108" t="s">
        <v>57</v>
      </c>
      <c r="D73" s="56">
        <f>VLOOKUP(C73,Cad.Usinas!$A$4:$B$6,2,FALSE)</f>
        <v>3023637013</v>
      </c>
      <c r="E73" s="109" t="s">
        <v>77</v>
      </c>
      <c r="F73" s="33" t="str">
        <f>VLOOKUP(E73,Cad.RateioConsumo!$B$4:$Q$77,2,FALSE)</f>
        <v>Associação dos Moradores do Residencial Araçagy</v>
      </c>
      <c r="G73" s="56">
        <f>VLOOKUP(E73,Cad.RateioConsumo!$B$4:$Q$9,5,FALSE)</f>
        <v>3021150559</v>
      </c>
      <c r="H73" s="111">
        <f>VLOOKUP(E73,Cad.RateioConsumo!$B$4:$Q$9,7,FALSE)</f>
        <v>2086.4545454545455</v>
      </c>
      <c r="I73" s="86">
        <f>VLOOKUP(E73,Cad.RateioConsumo!$B$4:$Q$9,11,FALSE)</f>
        <v>0.107</v>
      </c>
      <c r="J73" s="112" t="s">
        <v>124</v>
      </c>
      <c r="K73" s="123">
        <v>45903</v>
      </c>
      <c r="L73" s="123">
        <v>45924</v>
      </c>
      <c r="M73" s="114">
        <v>100</v>
      </c>
      <c r="N73" s="115">
        <v>1.0037</v>
      </c>
      <c r="O73" s="116">
        <f t="shared" si="48"/>
        <v>100.37</v>
      </c>
      <c r="P73" s="114">
        <v>1733.29</v>
      </c>
      <c r="Q73" s="117">
        <f t="shared" si="49"/>
        <v>1.0037</v>
      </c>
      <c r="R73" s="116">
        <f t="shared" si="50"/>
        <v>1739.7031730000001</v>
      </c>
      <c r="S73" s="118">
        <v>10.63</v>
      </c>
      <c r="T73" s="119">
        <v>0.23</v>
      </c>
      <c r="U73" s="120">
        <v>6.9319999999999998E-3</v>
      </c>
      <c r="V73" s="120">
        <v>3.2010999999999998E-2</v>
      </c>
      <c r="W73" s="121">
        <f t="shared" si="51"/>
        <v>1.0037</v>
      </c>
      <c r="X73" s="122">
        <f t="shared" si="52"/>
        <v>0</v>
      </c>
      <c r="Y73" s="4"/>
      <c r="Z73" s="114"/>
    </row>
    <row r="74" spans="1:26" ht="14.25" customHeight="1">
      <c r="A74" s="4"/>
      <c r="B74" s="4" t="str">
        <f t="shared" si="47"/>
        <v>3.409/2025</v>
      </c>
      <c r="C74" s="108" t="s">
        <v>57</v>
      </c>
      <c r="D74" s="56">
        <f>VLOOKUP(C74,Cad.Usinas!$A$4:$B$6,2,FALSE)</f>
        <v>3023637013</v>
      </c>
      <c r="E74" s="109" t="s">
        <v>82</v>
      </c>
      <c r="F74" s="33" t="str">
        <f>VLOOKUP(E74,Cad.RateioConsumo!$B$4:$Q$77,2,FALSE)</f>
        <v>Antonio Jose Souza Filho</v>
      </c>
      <c r="G74" s="56">
        <f>VLOOKUP(E74,Cad.RateioConsumo!$B$4:$Q$9,5,FALSE)</f>
        <v>3007625048</v>
      </c>
      <c r="H74" s="111">
        <f>VLOOKUP(E74,Cad.RateioConsumo!$B$4:$Q$9,7,FALSE)</f>
        <v>417.15384615384613</v>
      </c>
      <c r="I74" s="86">
        <f>VLOOKUP(E74,Cad.RateioConsumo!$B$4:$Q$9,11,FALSE)</f>
        <v>2.98E-2</v>
      </c>
      <c r="J74" s="112" t="s">
        <v>124</v>
      </c>
      <c r="K74" s="123">
        <v>45905</v>
      </c>
      <c r="L74" s="123">
        <v>45924</v>
      </c>
      <c r="M74" s="114">
        <v>30</v>
      </c>
      <c r="N74" s="115">
        <v>1.0143329999999999</v>
      </c>
      <c r="O74" s="116">
        <f t="shared" si="48"/>
        <v>30.429989999999997</v>
      </c>
      <c r="P74" s="114">
        <v>466</v>
      </c>
      <c r="Q74" s="117">
        <f t="shared" si="49"/>
        <v>1.0143329999999999</v>
      </c>
      <c r="R74" s="116">
        <f t="shared" si="50"/>
        <v>472.67917799999998</v>
      </c>
      <c r="S74" s="118">
        <v>3.19</v>
      </c>
      <c r="T74" s="119">
        <v>0.23</v>
      </c>
      <c r="U74" s="120">
        <v>6.9319999999999998E-3</v>
      </c>
      <c r="V74" s="120">
        <v>3.2010999999999998E-2</v>
      </c>
      <c r="W74" s="121">
        <f t="shared" si="51"/>
        <v>1.0143329999999999</v>
      </c>
      <c r="X74" s="122">
        <f t="shared" si="52"/>
        <v>0</v>
      </c>
      <c r="Y74" s="4"/>
      <c r="Z74" s="114"/>
    </row>
    <row r="75" spans="1:26" ht="14.25" customHeight="1">
      <c r="A75" s="4"/>
      <c r="B75" s="4" t="str">
        <f t="shared" si="47"/>
        <v>3.509/2025</v>
      </c>
      <c r="C75" s="108" t="s">
        <v>57</v>
      </c>
      <c r="D75" s="56">
        <f>VLOOKUP(C75,Cad.Usinas!$A$4:$B$6,2,FALSE)</f>
        <v>3023637013</v>
      </c>
      <c r="E75" s="109" t="s">
        <v>87</v>
      </c>
      <c r="F75" s="33" t="str">
        <f>VLOOKUP(E75,Cad.RateioConsumo!$B$4:$Q$77,2,FALSE)</f>
        <v>João Carlos Pereira Dutra Filho</v>
      </c>
      <c r="G75" s="56">
        <f>VLOOKUP(E75,Cad.RateioConsumo!$B$4:$Q$9,5,FALSE)</f>
        <v>1163310</v>
      </c>
      <c r="H75" s="111">
        <f>VLOOKUP(E75,Cad.RateioConsumo!$B$4:$Q$9,7,FALSE)</f>
        <v>848.69230769230774</v>
      </c>
      <c r="I75" s="86">
        <f>VLOOKUP(E75,Cad.RateioConsumo!$B$4:$Q$9,11,FALSE)</f>
        <v>6.0600000000000001E-2</v>
      </c>
      <c r="J75" s="112" t="s">
        <v>124</v>
      </c>
      <c r="K75" s="123"/>
      <c r="L75" s="123"/>
      <c r="M75" s="114"/>
      <c r="N75" s="115"/>
      <c r="O75" s="116"/>
      <c r="P75" s="114"/>
      <c r="Q75" s="135"/>
      <c r="R75" s="116"/>
      <c r="S75" s="118"/>
      <c r="T75" s="119">
        <v>0.23</v>
      </c>
      <c r="U75" s="120">
        <v>6.9319999999999998E-3</v>
      </c>
      <c r="V75" s="120">
        <v>3.2010999999999998E-2</v>
      </c>
      <c r="W75" s="121">
        <f t="shared" si="51"/>
        <v>0</v>
      </c>
      <c r="X75" s="122"/>
      <c r="Y75" s="4"/>
      <c r="Z75" s="114"/>
    </row>
    <row r="76" spans="1:26" ht="14.25" customHeight="1">
      <c r="A76" s="4"/>
      <c r="B76" s="4" t="str">
        <f t="shared" si="47"/>
        <v>3.609/2025</v>
      </c>
      <c r="C76" s="108" t="s">
        <v>57</v>
      </c>
      <c r="D76" s="56">
        <f>VLOOKUP(C76,Cad.Usinas!$A$4:$B$6,2,FALSE)</f>
        <v>3023637013</v>
      </c>
      <c r="E76" s="109" t="s">
        <v>92</v>
      </c>
      <c r="F76" s="33" t="str">
        <f>VLOOKUP(E76,Cad.RateioConsumo!$B$4:$Q$77,2,FALSE)</f>
        <v>Patricia Maria Abreu Machado</v>
      </c>
      <c r="G76" s="56">
        <f>VLOOKUP(E76,Cad.RateioConsumo!$B$4:$Q$9,5,FALSE)</f>
        <v>3006793931</v>
      </c>
      <c r="H76" s="111">
        <f>VLOOKUP(E76,Cad.RateioConsumo!$B$4:$Q$9,7,FALSE)</f>
        <v>776.76923076923072</v>
      </c>
      <c r="I76" s="86">
        <f>VLOOKUP(E76,Cad.RateioConsumo!$B$4:$Q$9,11,FALSE)</f>
        <v>5.5500000000000001E-2</v>
      </c>
      <c r="J76" s="112" t="s">
        <v>124</v>
      </c>
      <c r="K76" s="123"/>
      <c r="L76" s="123"/>
      <c r="M76" s="114"/>
      <c r="N76" s="115"/>
      <c r="O76" s="116"/>
      <c r="P76" s="114"/>
      <c r="Q76" s="135"/>
      <c r="R76" s="116"/>
      <c r="S76" s="118"/>
      <c r="T76" s="119">
        <v>0.23</v>
      </c>
      <c r="U76" s="120">
        <v>6.9319999999999998E-3</v>
      </c>
      <c r="V76" s="120">
        <v>3.2010999999999998E-2</v>
      </c>
      <c r="W76" s="121">
        <f t="shared" si="51"/>
        <v>0</v>
      </c>
      <c r="X76" s="122"/>
      <c r="Y76" s="4"/>
      <c r="Z76" s="114"/>
    </row>
    <row r="77" spans="1:26" ht="14.25" customHeight="1" thickBot="1">
      <c r="A77" s="4"/>
      <c r="B77" s="4" t="str">
        <f t="shared" si="47"/>
        <v>3.009/2025</v>
      </c>
      <c r="C77" s="108" t="s">
        <v>57</v>
      </c>
      <c r="D77" s="56">
        <f>VLOOKUP(C77,Cad.Usinas!$A$4:$B$6,2,FALSE)</f>
        <v>3023637013</v>
      </c>
      <c r="E77" s="109" t="s">
        <v>101</v>
      </c>
      <c r="F77" s="33" t="str">
        <f>VLOOKUP(E77,Cad.RateioConsumo!$B$4:$Q$77,2,FALSE)</f>
        <v>Usina 3</v>
      </c>
      <c r="G77" s="56">
        <f>VLOOKUP(E77,Cad.RateioConsumo!$B$4:$Q$77,5,FALSE)</f>
        <v>3023637013</v>
      </c>
      <c r="H77" s="111">
        <f>VLOOKUP(E77,Cad.RateioConsumo!$B$4:$Q$77,7,FALSE)</f>
        <v>8931.2331002331011</v>
      </c>
      <c r="I77" s="86">
        <f>VLOOKUP(E77,Cad.RateioConsumo!$B$4:$Q$77,11,FALSE)</f>
        <v>0.67989999999999995</v>
      </c>
      <c r="J77" s="112" t="s">
        <v>124</v>
      </c>
      <c r="K77" s="124"/>
      <c r="L77" s="124"/>
      <c r="M77" s="125"/>
      <c r="N77" s="131"/>
      <c r="O77" s="126"/>
      <c r="P77" s="125"/>
      <c r="Q77" s="132"/>
      <c r="R77" s="126"/>
      <c r="S77" s="129"/>
      <c r="T77" s="119">
        <v>0.23</v>
      </c>
      <c r="U77" s="120">
        <v>6.9319999999999998E-3</v>
      </c>
      <c r="V77" s="120">
        <v>3.2010999999999998E-2</v>
      </c>
      <c r="W77" s="121">
        <f t="shared" si="51"/>
        <v>0</v>
      </c>
      <c r="X77" s="130"/>
      <c r="Y77" s="4"/>
      <c r="Z77" s="125"/>
    </row>
    <row r="78" spans="1:26" ht="14.25" customHeight="1" thickBot="1">
      <c r="A78" s="4"/>
      <c r="B78" s="4" t="str">
        <f t="shared" si="47"/>
        <v>3.008/2025</v>
      </c>
      <c r="C78" s="108" t="s">
        <v>57</v>
      </c>
      <c r="D78" s="56">
        <f>VLOOKUP(C78,Cad.Usinas!$A$4:$B$6,2,FALSE)</f>
        <v>3023637013</v>
      </c>
      <c r="E78" s="109" t="s">
        <v>101</v>
      </c>
      <c r="F78" s="33" t="str">
        <f>VLOOKUP(E78,Cad.RateioConsumo!$B$4:$Q$77,2,FALSE)</f>
        <v>Usina 3</v>
      </c>
      <c r="G78" s="56">
        <f>VLOOKUP(E78,Cad.RateioConsumo!$B$4:$Q$77,5,FALSE)</f>
        <v>3023637013</v>
      </c>
      <c r="H78" s="111">
        <f>VLOOKUP(E78,Cad.RateioConsumo!$B$4:$Q$77,7,FALSE)</f>
        <v>8931.2331002331011</v>
      </c>
      <c r="I78" s="86">
        <f>VLOOKUP(E78,Cad.RateioConsumo!$B$4:$Q$77,11,FALSE)</f>
        <v>0.67989999999999995</v>
      </c>
      <c r="J78" s="112" t="s">
        <v>123</v>
      </c>
      <c r="K78" s="124"/>
      <c r="L78" s="124"/>
      <c r="M78" s="125"/>
      <c r="N78" s="131"/>
      <c r="O78" s="126"/>
      <c r="P78" s="125"/>
      <c r="Q78" s="132"/>
      <c r="R78" s="126"/>
      <c r="S78" s="129"/>
      <c r="T78" s="129"/>
      <c r="U78" s="129"/>
      <c r="V78" s="136"/>
      <c r="W78" s="136"/>
      <c r="X78" s="130"/>
      <c r="Y78" s="4"/>
      <c r="Z78" s="125"/>
    </row>
    <row r="79" spans="1:26" ht="14.25" customHeight="1" thickBot="1">
      <c r="A79" s="4"/>
      <c r="B79" s="4" t="str">
        <f t="shared" si="47"/>
        <v>3.007/2025</v>
      </c>
      <c r="C79" s="108" t="s">
        <v>57</v>
      </c>
      <c r="D79" s="56">
        <f>VLOOKUP(C79,Cad.Usinas!$A$4:$B$6,2,FALSE)</f>
        <v>3023637013</v>
      </c>
      <c r="E79" s="109" t="s">
        <v>101</v>
      </c>
      <c r="F79" s="33" t="str">
        <f>VLOOKUP(E79,Cad.RateioConsumo!$B$4:$Q$77,2,FALSE)</f>
        <v>Usina 3</v>
      </c>
      <c r="G79" s="56">
        <f>VLOOKUP(E79,Cad.RateioConsumo!$B$4:$Q$77,5,FALSE)</f>
        <v>3023637013</v>
      </c>
      <c r="H79" s="111">
        <f>VLOOKUP(E79,Cad.RateioConsumo!$B$4:$Q$77,7,FALSE)</f>
        <v>8931.2331002331011</v>
      </c>
      <c r="I79" s="86">
        <f>VLOOKUP(E79,Cad.RateioConsumo!$B$4:$Q$77,11,FALSE)</f>
        <v>0.67989999999999995</v>
      </c>
      <c r="J79" s="112" t="s">
        <v>122</v>
      </c>
      <c r="K79" s="124"/>
      <c r="L79" s="124"/>
      <c r="M79" s="125"/>
      <c r="N79" s="131"/>
      <c r="O79" s="126"/>
      <c r="P79" s="125"/>
      <c r="Q79" s="132"/>
      <c r="R79" s="126"/>
      <c r="S79" s="129"/>
      <c r="T79" s="129"/>
      <c r="U79" s="129"/>
      <c r="V79" s="136"/>
      <c r="W79" s="136"/>
      <c r="X79" s="130"/>
      <c r="Y79" s="4"/>
      <c r="Z79" s="125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50"/>
      <c r="L80" s="50"/>
      <c r="M80" s="4"/>
      <c r="N80" s="94"/>
      <c r="O80" s="106"/>
      <c r="P80" s="4"/>
      <c r="Q80" s="137"/>
      <c r="R80" s="106"/>
      <c r="S80" s="4"/>
      <c r="T80" s="4"/>
      <c r="U80" s="4"/>
      <c r="V80" s="107"/>
      <c r="W80" s="107"/>
      <c r="X80" s="106"/>
      <c r="Y80" s="4"/>
      <c r="Z80" s="4"/>
    </row>
    <row r="81" spans="1:26" ht="14.25" customHeight="1" thickBot="1">
      <c r="A81" s="4"/>
      <c r="B81" s="4" t="str">
        <f t="shared" ref="B81:B83" si="53">E81&amp;J81</f>
        <v>1.009/2025</v>
      </c>
      <c r="C81" s="108" t="s">
        <v>49</v>
      </c>
      <c r="D81" s="56">
        <f>VLOOKUP(C81,Cad.Usinas!$A$4:$B$6,2,FALSE)</f>
        <v>3023633492</v>
      </c>
      <c r="E81" s="109" t="s">
        <v>114</v>
      </c>
      <c r="F81" s="33" t="str">
        <f>VLOOKUP(E81,Cad.RateioConsumo!$B$4:$Q$77,2,FALSE)</f>
        <v>Usina 1</v>
      </c>
      <c r="G81" s="56">
        <f>VLOOKUP(E81,Cad.RateioConsumo!$B$4:$Q$77,5,FALSE)</f>
        <v>3023633492</v>
      </c>
      <c r="H81" s="111">
        <f>VLOOKUP(E81,Cad.RateioConsumo!$B$4:$Q$77,7,FALSE)</f>
        <v>14000</v>
      </c>
      <c r="I81" s="86">
        <f>VLOOKUP(E81,Cad.RateioConsumo!$B$4:$Q$77,11,FALSE)</f>
        <v>0.32010000000000005</v>
      </c>
      <c r="J81" s="112" t="s">
        <v>124</v>
      </c>
      <c r="K81" s="124"/>
      <c r="L81" s="124"/>
      <c r="M81" s="125">
        <v>0</v>
      </c>
      <c r="N81" s="131"/>
      <c r="O81" s="126"/>
      <c r="P81" s="125"/>
      <c r="Q81" s="132"/>
      <c r="R81" s="126"/>
      <c r="S81" s="129"/>
      <c r="T81" s="129"/>
      <c r="U81" s="129"/>
      <c r="V81" s="136"/>
      <c r="W81" s="136"/>
      <c r="X81" s="130"/>
      <c r="Y81" s="4"/>
      <c r="Z81" s="125"/>
    </row>
    <row r="82" spans="1:26" ht="14.25" customHeight="1" thickBot="1">
      <c r="A82" s="4"/>
      <c r="B82" s="4" t="str">
        <f t="shared" si="53"/>
        <v>1.008/2025</v>
      </c>
      <c r="C82" s="108" t="s">
        <v>49</v>
      </c>
      <c r="D82" s="56">
        <f>VLOOKUP(C82,Cad.Usinas!$A$4:$B$6,2,FALSE)</f>
        <v>3023633492</v>
      </c>
      <c r="E82" s="109" t="s">
        <v>114</v>
      </c>
      <c r="F82" s="33" t="str">
        <f>VLOOKUP(E82,Cad.RateioConsumo!$B$4:$Q$77,2,FALSE)</f>
        <v>Usina 1</v>
      </c>
      <c r="G82" s="56">
        <f>VLOOKUP(E82,Cad.RateioConsumo!$B$4:$Q$77,5,FALSE)</f>
        <v>3023633492</v>
      </c>
      <c r="H82" s="111">
        <f>VLOOKUP(E82,Cad.RateioConsumo!$B$4:$Q$77,7,FALSE)</f>
        <v>14000</v>
      </c>
      <c r="I82" s="86">
        <f>VLOOKUP(E82,Cad.RateioConsumo!$B$4:$Q$77,11,FALSE)</f>
        <v>0.32010000000000005</v>
      </c>
      <c r="J82" s="112" t="s">
        <v>123</v>
      </c>
      <c r="K82" s="124"/>
      <c r="L82" s="124"/>
      <c r="M82" s="125">
        <v>0</v>
      </c>
      <c r="N82" s="131"/>
      <c r="O82" s="126"/>
      <c r="P82" s="125"/>
      <c r="Q82" s="132"/>
      <c r="R82" s="126"/>
      <c r="S82" s="129"/>
      <c r="T82" s="129"/>
      <c r="U82" s="129"/>
      <c r="V82" s="136"/>
      <c r="W82" s="136"/>
      <c r="X82" s="130"/>
      <c r="Y82" s="4"/>
      <c r="Z82" s="125"/>
    </row>
    <row r="83" spans="1:26" ht="14.25" customHeight="1" thickBot="1">
      <c r="A83" s="4"/>
      <c r="B83" s="4" t="str">
        <f t="shared" si="53"/>
        <v>1.007/2025</v>
      </c>
      <c r="C83" s="108" t="s">
        <v>49</v>
      </c>
      <c r="D83" s="56">
        <f>VLOOKUP(C83,Cad.Usinas!$A$4:$B$6,2,FALSE)</f>
        <v>3023633492</v>
      </c>
      <c r="E83" s="109" t="s">
        <v>114</v>
      </c>
      <c r="F83" s="33" t="str">
        <f>VLOOKUP(E83,Cad.RateioConsumo!$B$4:$Q$77,2,FALSE)</f>
        <v>Usina 1</v>
      </c>
      <c r="G83" s="56">
        <f>VLOOKUP(E83,Cad.RateioConsumo!$B$4:$Q$77,5,FALSE)</f>
        <v>3023633492</v>
      </c>
      <c r="H83" s="111">
        <f>VLOOKUP(E83,Cad.RateioConsumo!$B$4:$Q$77,7,FALSE)</f>
        <v>14000</v>
      </c>
      <c r="I83" s="86">
        <f>VLOOKUP(E83,Cad.RateioConsumo!$B$4:$Q$77,11,FALSE)</f>
        <v>0.32010000000000005</v>
      </c>
      <c r="J83" s="112" t="s">
        <v>122</v>
      </c>
      <c r="K83" s="124"/>
      <c r="L83" s="124"/>
      <c r="M83" s="125">
        <v>0</v>
      </c>
      <c r="N83" s="131"/>
      <c r="O83" s="126"/>
      <c r="P83" s="125"/>
      <c r="Q83" s="132"/>
      <c r="R83" s="126"/>
      <c r="S83" s="129"/>
      <c r="T83" s="129"/>
      <c r="U83" s="129"/>
      <c r="V83" s="136"/>
      <c r="W83" s="136"/>
      <c r="X83" s="130"/>
      <c r="Y83" s="4"/>
      <c r="Z83" s="125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50"/>
      <c r="L84" s="50"/>
      <c r="M84" s="4"/>
      <c r="N84" s="94"/>
      <c r="O84" s="106"/>
      <c r="P84" s="4"/>
      <c r="Q84" s="137"/>
      <c r="R84" s="106"/>
      <c r="S84" s="4"/>
      <c r="T84" s="4"/>
      <c r="U84" s="4"/>
      <c r="V84" s="107"/>
      <c r="W84" s="107"/>
      <c r="X84" s="106"/>
      <c r="Y84" s="4"/>
      <c r="Z84" s="4"/>
    </row>
    <row r="85" spans="1:26" ht="14.25" customHeight="1" thickBot="1">
      <c r="A85" s="4"/>
      <c r="B85" s="4" t="str">
        <f t="shared" ref="B85:B87" si="54">E85&amp;J85</f>
        <v>2.009/2025</v>
      </c>
      <c r="C85" s="108" t="s">
        <v>53</v>
      </c>
      <c r="D85" s="56">
        <f>VLOOKUP(C85,Cad.Usinas!$A$4:$B$6,2,FALSE)</f>
        <v>3023594470</v>
      </c>
      <c r="E85" s="109" t="s">
        <v>113</v>
      </c>
      <c r="F85" s="33" t="str">
        <f>VLOOKUP(E85,Cad.RateioConsumo!$B$4:$Q$77,2,FALSE)</f>
        <v>Usina 2</v>
      </c>
      <c r="G85" s="56">
        <f>VLOOKUP(E85,Cad.RateioConsumo!$B$4:$Q$77,5,FALSE)</f>
        <v>3023594470</v>
      </c>
      <c r="H85" s="111">
        <f>VLOOKUP(E85,Cad.RateioConsumo!$B$4:$Q$77,7,FALSE)</f>
        <v>14000</v>
      </c>
      <c r="I85" s="86">
        <f>VLOOKUP(E85,Cad.RateioConsumo!$B$4:$Q$77,11,FALSE)</f>
        <v>1</v>
      </c>
      <c r="J85" s="112" t="s">
        <v>124</v>
      </c>
      <c r="K85" s="124"/>
      <c r="L85" s="124"/>
      <c r="M85" s="125">
        <v>0</v>
      </c>
      <c r="N85" s="131"/>
      <c r="O85" s="126"/>
      <c r="P85" s="125">
        <v>0</v>
      </c>
      <c r="Q85" s="132"/>
      <c r="R85" s="126"/>
      <c r="S85" s="129"/>
      <c r="T85" s="129"/>
      <c r="U85" s="129"/>
      <c r="V85" s="136"/>
      <c r="W85" s="136"/>
      <c r="X85" s="130"/>
      <c r="Y85" s="4"/>
      <c r="Z85" s="125"/>
    </row>
    <row r="86" spans="1:26" ht="14.25" customHeight="1" thickBot="1">
      <c r="A86" s="4"/>
      <c r="B86" s="4" t="str">
        <f t="shared" si="54"/>
        <v>2.008/2025</v>
      </c>
      <c r="C86" s="108" t="s">
        <v>53</v>
      </c>
      <c r="D86" s="56">
        <f>VLOOKUP(C86,Cad.Usinas!$A$4:$B$6,2,FALSE)</f>
        <v>3023594470</v>
      </c>
      <c r="E86" s="109" t="s">
        <v>113</v>
      </c>
      <c r="F86" s="33" t="str">
        <f>VLOOKUP(E86,Cad.RateioConsumo!$B$4:$Q$77,2,FALSE)</f>
        <v>Usina 2</v>
      </c>
      <c r="G86" s="56">
        <f>VLOOKUP(E86,Cad.RateioConsumo!$B$4:$Q$77,5,FALSE)</f>
        <v>3023594470</v>
      </c>
      <c r="H86" s="111">
        <f>VLOOKUP(E86,Cad.RateioConsumo!$B$4:$Q$77,7,FALSE)</f>
        <v>14000</v>
      </c>
      <c r="I86" s="86">
        <f>VLOOKUP(E86,Cad.RateioConsumo!$B$4:$Q$77,11,FALSE)</f>
        <v>1</v>
      </c>
      <c r="J86" s="112" t="s">
        <v>123</v>
      </c>
      <c r="K86" s="124"/>
      <c r="L86" s="124"/>
      <c r="M86" s="125">
        <v>0</v>
      </c>
      <c r="N86" s="131"/>
      <c r="O86" s="126"/>
      <c r="P86" s="125">
        <v>0</v>
      </c>
      <c r="Q86" s="132"/>
      <c r="R86" s="126"/>
      <c r="S86" s="129"/>
      <c r="T86" s="129"/>
      <c r="U86" s="129"/>
      <c r="V86" s="129"/>
      <c r="W86" s="129"/>
      <c r="X86" s="130"/>
      <c r="Y86" s="4"/>
      <c r="Z86" s="125"/>
    </row>
    <row r="87" spans="1:26" ht="14.25" customHeight="1" thickBot="1">
      <c r="A87" s="4"/>
      <c r="B87" s="4" t="str">
        <f t="shared" si="54"/>
        <v>2.007/2025</v>
      </c>
      <c r="C87" s="108" t="s">
        <v>53</v>
      </c>
      <c r="D87" s="56">
        <f>VLOOKUP(C87,Cad.Usinas!$A$4:$B$6,2,FALSE)</f>
        <v>3023594470</v>
      </c>
      <c r="E87" s="109" t="s">
        <v>113</v>
      </c>
      <c r="F87" s="33" t="str">
        <f>VLOOKUP(E87,Cad.RateioConsumo!$B$4:$Q$77,2,FALSE)</f>
        <v>Usina 2</v>
      </c>
      <c r="G87" s="56">
        <f>VLOOKUP(E87,Cad.RateioConsumo!$B$4:$Q$77,5,FALSE)</f>
        <v>3023594470</v>
      </c>
      <c r="H87" s="111">
        <f>VLOOKUP(E87,Cad.RateioConsumo!$B$4:$Q$77,7,FALSE)</f>
        <v>14000</v>
      </c>
      <c r="I87" s="86">
        <f>VLOOKUP(E87,Cad.RateioConsumo!$B$4:$Q$77,11,FALSE)</f>
        <v>1</v>
      </c>
      <c r="J87" s="112" t="s">
        <v>122</v>
      </c>
      <c r="K87" s="124"/>
      <c r="L87" s="124"/>
      <c r="M87" s="125">
        <v>0</v>
      </c>
      <c r="N87" s="131"/>
      <c r="O87" s="126"/>
      <c r="P87" s="125">
        <v>0</v>
      </c>
      <c r="Q87" s="132"/>
      <c r="R87" s="126"/>
      <c r="S87" s="129"/>
      <c r="T87" s="129"/>
      <c r="U87" s="129"/>
      <c r="V87" s="129"/>
      <c r="W87" s="129"/>
      <c r="X87" s="130"/>
      <c r="Y87" s="4"/>
      <c r="Z87" s="125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50"/>
      <c r="L88" s="50"/>
      <c r="M88" s="4"/>
      <c r="N88" s="9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50"/>
      <c r="L89" s="50"/>
      <c r="M89" s="4"/>
      <c r="N89" s="9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50"/>
      <c r="L90" s="50"/>
      <c r="M90" s="4"/>
      <c r="N90" s="9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50"/>
      <c r="L91" s="50"/>
      <c r="M91" s="4"/>
      <c r="N91" s="9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50"/>
      <c r="L92" s="50"/>
      <c r="M92" s="4"/>
      <c r="N92" s="9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50"/>
      <c r="L93" s="50"/>
      <c r="M93" s="4"/>
      <c r="N93" s="9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50"/>
      <c r="M94" s="4"/>
      <c r="N94" s="9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50"/>
      <c r="M95" s="4"/>
      <c r="N95" s="9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68"/>
      <c r="F96" s="4"/>
      <c r="G96" s="4"/>
      <c r="H96" s="4"/>
      <c r="I96" s="4"/>
      <c r="J96" s="4"/>
      <c r="K96" s="4"/>
      <c r="L96" s="50"/>
      <c r="M96" s="4"/>
      <c r="N96" s="9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68"/>
      <c r="F97" s="4"/>
      <c r="G97" s="4"/>
      <c r="H97" s="4"/>
      <c r="I97" s="4"/>
      <c r="J97" s="4"/>
      <c r="K97" s="4"/>
      <c r="L97" s="50"/>
      <c r="M97" s="4"/>
      <c r="N97" s="9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68"/>
      <c r="F98" s="4"/>
      <c r="G98" s="4"/>
      <c r="H98" s="4"/>
      <c r="I98" s="4"/>
      <c r="J98" s="4"/>
      <c r="K98" s="4"/>
      <c r="L98" s="50"/>
      <c r="M98" s="4"/>
      <c r="N98" s="9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68"/>
      <c r="F99" s="4"/>
      <c r="G99" s="4"/>
      <c r="H99" s="4"/>
      <c r="I99" s="4"/>
      <c r="J99" s="4"/>
      <c r="K99" s="4"/>
      <c r="L99" s="50"/>
      <c r="M99" s="4"/>
      <c r="N99" s="9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68"/>
      <c r="F100" s="4"/>
      <c r="G100" s="4"/>
      <c r="H100" s="4"/>
      <c r="I100" s="4"/>
      <c r="J100" s="4"/>
      <c r="K100" s="4"/>
      <c r="L100" s="50"/>
      <c r="M100" s="4"/>
      <c r="N100" s="9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68"/>
      <c r="F101" s="4"/>
      <c r="G101" s="4"/>
      <c r="H101" s="4"/>
      <c r="I101" s="4"/>
      <c r="J101" s="4"/>
      <c r="K101" s="4"/>
      <c r="L101" s="50"/>
      <c r="M101" s="4"/>
      <c r="N101" s="9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68"/>
      <c r="F102" s="4"/>
      <c r="G102" s="4"/>
      <c r="H102" s="4"/>
      <c r="I102" s="4"/>
      <c r="J102" s="4"/>
      <c r="K102" s="4"/>
      <c r="L102" s="4"/>
      <c r="M102" s="4"/>
      <c r="N102" s="9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68"/>
      <c r="F103" s="4"/>
      <c r="G103" s="4"/>
      <c r="H103" s="4"/>
      <c r="I103" s="4"/>
      <c r="J103" s="4"/>
      <c r="K103" s="4"/>
      <c r="L103" s="4"/>
      <c r="M103" s="4"/>
      <c r="N103" s="9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68"/>
      <c r="F104" s="4"/>
      <c r="G104" s="4"/>
      <c r="H104" s="4"/>
      <c r="I104" s="4"/>
      <c r="J104" s="4"/>
      <c r="K104" s="4"/>
      <c r="L104" s="4"/>
      <c r="M104" s="4"/>
      <c r="N104" s="9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68"/>
      <c r="F105" s="4"/>
      <c r="G105" s="4"/>
      <c r="H105" s="4"/>
      <c r="I105" s="4"/>
      <c r="J105" s="4" t="s">
        <v>11</v>
      </c>
      <c r="K105" s="4"/>
      <c r="L105" s="4"/>
      <c r="M105" s="4"/>
      <c r="N105" s="94"/>
      <c r="O105" s="4"/>
      <c r="P105" s="4"/>
      <c r="Q105" s="4"/>
      <c r="R105" s="4"/>
      <c r="S105" s="4"/>
      <c r="T105" s="4"/>
      <c r="U105" s="4"/>
      <c r="V105" s="4"/>
      <c r="W105" s="4"/>
      <c r="X105" s="250">
        <f>X45-X58</f>
        <v>-471.39</v>
      </c>
      <c r="Y105" s="4"/>
      <c r="Z105" s="4"/>
    </row>
    <row r="106" spans="1:26" ht="14.25" customHeight="1">
      <c r="A106" s="4"/>
      <c r="B106" s="4"/>
      <c r="C106" s="4"/>
      <c r="D106" s="4"/>
      <c r="E106" s="68"/>
      <c r="F106" s="4"/>
      <c r="G106" s="4"/>
      <c r="H106" s="4"/>
      <c r="I106" s="4"/>
      <c r="J106" s="4"/>
      <c r="K106" s="4"/>
      <c r="L106" s="4"/>
      <c r="M106" s="4"/>
      <c r="N106" s="9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68"/>
      <c r="F107" s="4"/>
      <c r="G107" s="4"/>
      <c r="H107" s="4"/>
      <c r="I107" s="4"/>
      <c r="J107" s="4"/>
      <c r="K107" s="4"/>
      <c r="L107" s="4"/>
      <c r="M107" s="4"/>
      <c r="N107" s="9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68"/>
      <c r="F108" s="4"/>
      <c r="G108" s="4"/>
      <c r="H108" s="4"/>
      <c r="I108" s="4"/>
      <c r="J108" s="4"/>
      <c r="K108" s="4"/>
      <c r="L108" s="4"/>
      <c r="M108" s="4"/>
      <c r="N108" s="9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68"/>
      <c r="F109" s="4"/>
      <c r="G109" s="4"/>
      <c r="H109" s="4"/>
      <c r="I109" s="4"/>
      <c r="J109" s="4"/>
      <c r="K109" s="4"/>
      <c r="L109" s="4"/>
      <c r="M109" s="4"/>
      <c r="N109" s="9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68"/>
      <c r="F110" s="4"/>
      <c r="G110" s="4"/>
      <c r="H110" s="4"/>
      <c r="I110" s="4"/>
      <c r="J110" s="4"/>
      <c r="K110" s="4"/>
      <c r="L110" s="4"/>
      <c r="M110" s="4"/>
      <c r="N110" s="9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68"/>
      <c r="F111" s="4"/>
      <c r="G111" s="4"/>
      <c r="H111" s="4"/>
      <c r="I111" s="4"/>
      <c r="J111" s="4"/>
      <c r="K111" s="4"/>
      <c r="L111" s="4"/>
      <c r="M111" s="4"/>
      <c r="N111" s="9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68"/>
      <c r="F112" s="4"/>
      <c r="G112" s="4"/>
      <c r="H112" s="4"/>
      <c r="I112" s="4"/>
      <c r="J112" s="4"/>
      <c r="K112" s="4"/>
      <c r="L112" s="4"/>
      <c r="M112" s="4"/>
      <c r="N112" s="9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68"/>
      <c r="F113" s="4"/>
      <c r="G113" s="4"/>
      <c r="H113" s="4"/>
      <c r="I113" s="4"/>
      <c r="J113" s="4"/>
      <c r="K113" s="4"/>
      <c r="L113" s="4"/>
      <c r="M113" s="4"/>
      <c r="N113" s="9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68"/>
      <c r="F114" s="4"/>
      <c r="G114" s="4"/>
      <c r="H114" s="4"/>
      <c r="I114" s="4"/>
      <c r="J114" s="4"/>
      <c r="K114" s="4"/>
      <c r="L114" s="4"/>
      <c r="M114" s="4"/>
      <c r="N114" s="9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68"/>
      <c r="F115" s="4"/>
      <c r="G115" s="4"/>
      <c r="H115" s="4"/>
      <c r="I115" s="4"/>
      <c r="J115" s="4"/>
      <c r="K115" s="4"/>
      <c r="L115" s="4"/>
      <c r="M115" s="4"/>
      <c r="N115" s="9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68"/>
      <c r="F116" s="4"/>
      <c r="G116" s="4"/>
      <c r="H116" s="4"/>
      <c r="I116" s="4"/>
      <c r="J116" s="4"/>
      <c r="K116" s="4"/>
      <c r="L116" s="4"/>
      <c r="M116" s="4"/>
      <c r="N116" s="9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68"/>
      <c r="F117" s="4"/>
      <c r="G117" s="4"/>
      <c r="H117" s="4"/>
      <c r="I117" s="4"/>
      <c r="J117" s="4"/>
      <c r="K117" s="4"/>
      <c r="L117" s="4"/>
      <c r="M117" s="4"/>
      <c r="N117" s="9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68"/>
      <c r="F118" s="4"/>
      <c r="G118" s="4"/>
      <c r="H118" s="4"/>
      <c r="I118" s="4"/>
      <c r="J118" s="4"/>
      <c r="K118" s="4"/>
      <c r="L118" s="4"/>
      <c r="M118" s="4"/>
      <c r="N118" s="9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68"/>
      <c r="F119" s="4"/>
      <c r="G119" s="4"/>
      <c r="H119" s="4"/>
      <c r="I119" s="4"/>
      <c r="J119" s="4"/>
      <c r="K119" s="4"/>
      <c r="L119" s="4"/>
      <c r="M119" s="4"/>
      <c r="N119" s="9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68"/>
      <c r="F120" s="4"/>
      <c r="G120" s="4"/>
      <c r="H120" s="4"/>
      <c r="I120" s="4"/>
      <c r="J120" s="4"/>
      <c r="K120" s="4"/>
      <c r="L120" s="4"/>
      <c r="M120" s="4"/>
      <c r="N120" s="9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68"/>
      <c r="F121" s="4"/>
      <c r="G121" s="4"/>
      <c r="H121" s="4"/>
      <c r="I121" s="4"/>
      <c r="J121" s="4"/>
      <c r="K121" s="4"/>
      <c r="L121" s="4"/>
      <c r="M121" s="4"/>
      <c r="N121" s="9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68"/>
      <c r="F122" s="4"/>
      <c r="G122" s="4"/>
      <c r="H122" s="4"/>
      <c r="I122" s="4"/>
      <c r="J122" s="4"/>
      <c r="K122" s="4"/>
      <c r="L122" s="4"/>
      <c r="M122" s="4"/>
      <c r="N122" s="9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68"/>
      <c r="F123" s="4"/>
      <c r="G123" s="4"/>
      <c r="H123" s="4"/>
      <c r="I123" s="4"/>
      <c r="J123" s="4"/>
      <c r="K123" s="4"/>
      <c r="L123" s="4"/>
      <c r="M123" s="4"/>
      <c r="N123" s="9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68"/>
      <c r="F124" s="4"/>
      <c r="G124" s="4"/>
      <c r="H124" s="4"/>
      <c r="I124" s="4"/>
      <c r="J124" s="4"/>
      <c r="K124" s="4"/>
      <c r="L124" s="4"/>
      <c r="M124" s="4"/>
      <c r="N124" s="9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68"/>
      <c r="F125" s="4"/>
      <c r="G125" s="4"/>
      <c r="H125" s="4"/>
      <c r="I125" s="4"/>
      <c r="J125" s="4"/>
      <c r="K125" s="4"/>
      <c r="L125" s="4"/>
      <c r="M125" s="4"/>
      <c r="N125" s="9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68"/>
      <c r="F126" s="4"/>
      <c r="G126" s="4"/>
      <c r="H126" s="4"/>
      <c r="I126" s="4"/>
      <c r="J126" s="4"/>
      <c r="K126" s="4"/>
      <c r="L126" s="4"/>
      <c r="M126" s="4"/>
      <c r="N126" s="9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68"/>
      <c r="F127" s="4"/>
      <c r="G127" s="4"/>
      <c r="H127" s="4"/>
      <c r="I127" s="4"/>
      <c r="J127" s="4"/>
      <c r="K127" s="4"/>
      <c r="L127" s="4"/>
      <c r="M127" s="4"/>
      <c r="N127" s="9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68"/>
      <c r="F128" s="4"/>
      <c r="G128" s="4"/>
      <c r="H128" s="4"/>
      <c r="I128" s="4"/>
      <c r="J128" s="4"/>
      <c r="K128" s="4"/>
      <c r="L128" s="4"/>
      <c r="M128" s="4"/>
      <c r="N128" s="9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68"/>
      <c r="F129" s="4"/>
      <c r="G129" s="4"/>
      <c r="H129" s="4"/>
      <c r="I129" s="4"/>
      <c r="J129" s="4"/>
      <c r="K129" s="4"/>
      <c r="L129" s="4"/>
      <c r="M129" s="4"/>
      <c r="N129" s="9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68"/>
      <c r="F130" s="4"/>
      <c r="G130" s="4"/>
      <c r="H130" s="4"/>
      <c r="I130" s="4"/>
      <c r="J130" s="4"/>
      <c r="K130" s="4"/>
      <c r="L130" s="4"/>
      <c r="M130" s="4"/>
      <c r="N130" s="9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68"/>
      <c r="F131" s="4"/>
      <c r="G131" s="4"/>
      <c r="H131" s="4"/>
      <c r="I131" s="4"/>
      <c r="J131" s="4"/>
      <c r="K131" s="4"/>
      <c r="L131" s="4"/>
      <c r="M131" s="4"/>
      <c r="N131" s="9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68"/>
      <c r="F132" s="4"/>
      <c r="G132" s="4"/>
      <c r="H132" s="4"/>
      <c r="I132" s="4"/>
      <c r="J132" s="4"/>
      <c r="K132" s="4"/>
      <c r="L132" s="4"/>
      <c r="M132" s="4"/>
      <c r="N132" s="9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68"/>
      <c r="F133" s="4"/>
      <c r="G133" s="4"/>
      <c r="H133" s="4"/>
      <c r="I133" s="4"/>
      <c r="J133" s="4"/>
      <c r="K133" s="4"/>
      <c r="L133" s="4"/>
      <c r="M133" s="4"/>
      <c r="N133" s="9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68"/>
      <c r="F134" s="4"/>
      <c r="G134" s="4"/>
      <c r="H134" s="4"/>
      <c r="I134" s="4"/>
      <c r="J134" s="4"/>
      <c r="K134" s="4"/>
      <c r="L134" s="4"/>
      <c r="M134" s="4"/>
      <c r="N134" s="9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68"/>
      <c r="F135" s="4"/>
      <c r="G135" s="4"/>
      <c r="H135" s="4"/>
      <c r="I135" s="4"/>
      <c r="J135" s="4"/>
      <c r="K135" s="4"/>
      <c r="L135" s="4"/>
      <c r="M135" s="4"/>
      <c r="N135" s="9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68"/>
      <c r="F136" s="4"/>
      <c r="G136" s="4"/>
      <c r="H136" s="4"/>
      <c r="I136" s="4"/>
      <c r="J136" s="4"/>
      <c r="K136" s="4"/>
      <c r="L136" s="4"/>
      <c r="M136" s="4"/>
      <c r="N136" s="9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68"/>
      <c r="F137" s="4"/>
      <c r="G137" s="4"/>
      <c r="H137" s="4"/>
      <c r="I137" s="4"/>
      <c r="J137" s="4"/>
      <c r="K137" s="4"/>
      <c r="L137" s="4"/>
      <c r="M137" s="4"/>
      <c r="N137" s="9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68"/>
      <c r="F138" s="4"/>
      <c r="G138" s="4"/>
      <c r="H138" s="4"/>
      <c r="I138" s="4"/>
      <c r="J138" s="4"/>
      <c r="K138" s="4"/>
      <c r="L138" s="4"/>
      <c r="M138" s="4"/>
      <c r="N138" s="9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68"/>
      <c r="F139" s="4"/>
      <c r="G139" s="4"/>
      <c r="H139" s="4"/>
      <c r="I139" s="4"/>
      <c r="J139" s="4"/>
      <c r="K139" s="4"/>
      <c r="L139" s="4"/>
      <c r="M139" s="4"/>
      <c r="N139" s="9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68"/>
      <c r="F140" s="4"/>
      <c r="G140" s="4"/>
      <c r="H140" s="4"/>
      <c r="I140" s="4"/>
      <c r="J140" s="4"/>
      <c r="K140" s="4"/>
      <c r="L140" s="4"/>
      <c r="M140" s="4"/>
      <c r="N140" s="9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68"/>
      <c r="F141" s="4"/>
      <c r="G141" s="4"/>
      <c r="H141" s="4"/>
      <c r="I141" s="4"/>
      <c r="J141" s="4"/>
      <c r="K141" s="4"/>
      <c r="L141" s="4"/>
      <c r="M141" s="4"/>
      <c r="N141" s="9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68"/>
      <c r="F142" s="4"/>
      <c r="G142" s="4"/>
      <c r="H142" s="4"/>
      <c r="I142" s="4"/>
      <c r="J142" s="4"/>
      <c r="K142" s="4"/>
      <c r="L142" s="4"/>
      <c r="M142" s="4"/>
      <c r="N142" s="9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68"/>
      <c r="F143" s="4"/>
      <c r="G143" s="4"/>
      <c r="H143" s="4"/>
      <c r="I143" s="4"/>
      <c r="J143" s="4"/>
      <c r="K143" s="4"/>
      <c r="L143" s="4"/>
      <c r="M143" s="4"/>
      <c r="N143" s="9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68"/>
      <c r="F144" s="4"/>
      <c r="G144" s="4"/>
      <c r="H144" s="4"/>
      <c r="I144" s="4"/>
      <c r="J144" s="4"/>
      <c r="K144" s="4"/>
      <c r="L144" s="4"/>
      <c r="M144" s="4"/>
      <c r="N144" s="9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68"/>
      <c r="F145" s="4"/>
      <c r="G145" s="4"/>
      <c r="H145" s="4"/>
      <c r="I145" s="4"/>
      <c r="J145" s="4"/>
      <c r="K145" s="4"/>
      <c r="L145" s="4"/>
      <c r="M145" s="4"/>
      <c r="N145" s="9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68"/>
      <c r="F146" s="4"/>
      <c r="G146" s="4"/>
      <c r="H146" s="4"/>
      <c r="I146" s="4"/>
      <c r="J146" s="4"/>
      <c r="K146" s="4"/>
      <c r="L146" s="4"/>
      <c r="M146" s="4"/>
      <c r="N146" s="9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68"/>
      <c r="F147" s="4"/>
      <c r="G147" s="4"/>
      <c r="H147" s="4"/>
      <c r="I147" s="4"/>
      <c r="J147" s="4"/>
      <c r="K147" s="4"/>
      <c r="L147" s="4"/>
      <c r="M147" s="4"/>
      <c r="N147" s="9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68"/>
      <c r="F148" s="4"/>
      <c r="G148" s="4"/>
      <c r="H148" s="4"/>
      <c r="I148" s="4"/>
      <c r="J148" s="4"/>
      <c r="K148" s="4"/>
      <c r="L148" s="4"/>
      <c r="M148" s="4"/>
      <c r="N148" s="9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68"/>
      <c r="F149" s="4"/>
      <c r="G149" s="4"/>
      <c r="H149" s="4"/>
      <c r="I149" s="4"/>
      <c r="J149" s="4"/>
      <c r="K149" s="4"/>
      <c r="L149" s="4"/>
      <c r="M149" s="4"/>
      <c r="N149" s="9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68"/>
      <c r="F150" s="4"/>
      <c r="G150" s="4"/>
      <c r="H150" s="4"/>
      <c r="I150" s="4"/>
      <c r="J150" s="4"/>
      <c r="K150" s="4"/>
      <c r="L150" s="4"/>
      <c r="M150" s="4"/>
      <c r="N150" s="9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68"/>
      <c r="F151" s="4"/>
      <c r="G151" s="4"/>
      <c r="H151" s="4"/>
      <c r="I151" s="4"/>
      <c r="J151" s="4"/>
      <c r="K151" s="4"/>
      <c r="L151" s="4"/>
      <c r="M151" s="4"/>
      <c r="N151" s="9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68"/>
      <c r="F152" s="4"/>
      <c r="G152" s="4"/>
      <c r="H152" s="4"/>
      <c r="I152" s="4"/>
      <c r="J152" s="4"/>
      <c r="K152" s="4"/>
      <c r="L152" s="4"/>
      <c r="M152" s="4"/>
      <c r="N152" s="9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68"/>
      <c r="F153" s="4"/>
      <c r="G153" s="4"/>
      <c r="H153" s="4"/>
      <c r="I153" s="4"/>
      <c r="J153" s="4"/>
      <c r="K153" s="4"/>
      <c r="L153" s="4"/>
      <c r="M153" s="4"/>
      <c r="N153" s="9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68"/>
      <c r="F154" s="4"/>
      <c r="G154" s="4"/>
      <c r="H154" s="4"/>
      <c r="I154" s="4"/>
      <c r="J154" s="4"/>
      <c r="K154" s="4"/>
      <c r="L154" s="4"/>
      <c r="M154" s="4"/>
      <c r="N154" s="9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68"/>
      <c r="F155" s="4"/>
      <c r="G155" s="4"/>
      <c r="H155" s="4"/>
      <c r="I155" s="4"/>
      <c r="J155" s="4"/>
      <c r="K155" s="4"/>
      <c r="L155" s="4"/>
      <c r="M155" s="4"/>
      <c r="N155" s="9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68"/>
      <c r="F156" s="4"/>
      <c r="G156" s="4"/>
      <c r="H156" s="4"/>
      <c r="I156" s="4"/>
      <c r="J156" s="4"/>
      <c r="K156" s="4"/>
      <c r="L156" s="4"/>
      <c r="M156" s="4"/>
      <c r="N156" s="9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68"/>
      <c r="F157" s="4"/>
      <c r="G157" s="4"/>
      <c r="H157" s="4"/>
      <c r="I157" s="4"/>
      <c r="J157" s="4"/>
      <c r="K157" s="4"/>
      <c r="L157" s="4"/>
      <c r="M157" s="4"/>
      <c r="N157" s="9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68"/>
      <c r="F158" s="4"/>
      <c r="G158" s="4"/>
      <c r="H158" s="4"/>
      <c r="I158" s="4"/>
      <c r="J158" s="4"/>
      <c r="K158" s="4"/>
      <c r="L158" s="4"/>
      <c r="M158" s="4"/>
      <c r="N158" s="9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68"/>
      <c r="F159" s="4"/>
      <c r="G159" s="4"/>
      <c r="H159" s="4"/>
      <c r="I159" s="4"/>
      <c r="J159" s="4"/>
      <c r="K159" s="4"/>
      <c r="L159" s="4"/>
      <c r="M159" s="4"/>
      <c r="N159" s="9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68"/>
      <c r="F160" s="4"/>
      <c r="G160" s="4"/>
      <c r="H160" s="4"/>
      <c r="I160" s="4"/>
      <c r="J160" s="4"/>
      <c r="K160" s="4"/>
      <c r="L160" s="4"/>
      <c r="M160" s="4"/>
      <c r="N160" s="9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68"/>
      <c r="F161" s="4"/>
      <c r="G161" s="4"/>
      <c r="H161" s="4"/>
      <c r="I161" s="4"/>
      <c r="J161" s="4"/>
      <c r="K161" s="4"/>
      <c r="L161" s="4"/>
      <c r="M161" s="4"/>
      <c r="N161" s="9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68"/>
      <c r="F162" s="4"/>
      <c r="G162" s="4"/>
      <c r="H162" s="4"/>
      <c r="I162" s="4"/>
      <c r="J162" s="4"/>
      <c r="K162" s="4"/>
      <c r="L162" s="4"/>
      <c r="M162" s="4"/>
      <c r="N162" s="9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68"/>
      <c r="F163" s="4"/>
      <c r="G163" s="4"/>
      <c r="H163" s="4"/>
      <c r="I163" s="4"/>
      <c r="J163" s="4"/>
      <c r="K163" s="4"/>
      <c r="L163" s="4"/>
      <c r="M163" s="4"/>
      <c r="N163" s="9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68"/>
      <c r="F164" s="4"/>
      <c r="G164" s="4"/>
      <c r="H164" s="4"/>
      <c r="I164" s="4"/>
      <c r="J164" s="4"/>
      <c r="K164" s="4"/>
      <c r="L164" s="4"/>
      <c r="M164" s="4"/>
      <c r="N164" s="9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68"/>
      <c r="F165" s="4"/>
      <c r="G165" s="4"/>
      <c r="H165" s="4"/>
      <c r="I165" s="4"/>
      <c r="J165" s="4"/>
      <c r="K165" s="4"/>
      <c r="L165" s="4"/>
      <c r="M165" s="4"/>
      <c r="N165" s="9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68"/>
      <c r="F166" s="4"/>
      <c r="G166" s="4"/>
      <c r="H166" s="4"/>
      <c r="I166" s="4"/>
      <c r="J166" s="4"/>
      <c r="K166" s="4"/>
      <c r="L166" s="4"/>
      <c r="M166" s="4"/>
      <c r="N166" s="9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68"/>
      <c r="F167" s="4"/>
      <c r="G167" s="4"/>
      <c r="H167" s="4"/>
      <c r="I167" s="4"/>
      <c r="J167" s="4"/>
      <c r="K167" s="4"/>
      <c r="L167" s="4"/>
      <c r="M167" s="4"/>
      <c r="N167" s="9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68"/>
      <c r="F168" s="4"/>
      <c r="G168" s="4"/>
      <c r="H168" s="4"/>
      <c r="I168" s="4"/>
      <c r="J168" s="4"/>
      <c r="K168" s="4"/>
      <c r="L168" s="4"/>
      <c r="M168" s="4"/>
      <c r="N168" s="9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68"/>
      <c r="F169" s="4"/>
      <c r="G169" s="4"/>
      <c r="H169" s="4"/>
      <c r="I169" s="4"/>
      <c r="J169" s="4"/>
      <c r="K169" s="4"/>
      <c r="L169" s="4"/>
      <c r="M169" s="4"/>
      <c r="N169" s="9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68"/>
      <c r="F170" s="4"/>
      <c r="G170" s="4"/>
      <c r="H170" s="4"/>
      <c r="I170" s="4"/>
      <c r="J170" s="4"/>
      <c r="K170" s="4"/>
      <c r="L170" s="4"/>
      <c r="M170" s="4"/>
      <c r="N170" s="9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68"/>
      <c r="F171" s="4"/>
      <c r="G171" s="4"/>
      <c r="H171" s="4"/>
      <c r="I171" s="4"/>
      <c r="J171" s="4"/>
      <c r="K171" s="4"/>
      <c r="L171" s="4"/>
      <c r="M171" s="4"/>
      <c r="N171" s="9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68"/>
      <c r="F172" s="4"/>
      <c r="G172" s="4"/>
      <c r="H172" s="4"/>
      <c r="I172" s="4"/>
      <c r="J172" s="4"/>
      <c r="K172" s="4"/>
      <c r="L172" s="4"/>
      <c r="M172" s="4"/>
      <c r="N172" s="9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68"/>
      <c r="F173" s="4"/>
      <c r="G173" s="4"/>
      <c r="H173" s="4"/>
      <c r="I173" s="4"/>
      <c r="J173" s="4"/>
      <c r="K173" s="4"/>
      <c r="L173" s="4"/>
      <c r="M173" s="4"/>
      <c r="N173" s="9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68"/>
      <c r="F174" s="4"/>
      <c r="G174" s="4"/>
      <c r="H174" s="4"/>
      <c r="I174" s="4"/>
      <c r="J174" s="4"/>
      <c r="K174" s="4"/>
      <c r="L174" s="4"/>
      <c r="M174" s="4"/>
      <c r="N174" s="9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68"/>
      <c r="F175" s="4"/>
      <c r="G175" s="4"/>
      <c r="H175" s="4"/>
      <c r="I175" s="4"/>
      <c r="J175" s="4"/>
      <c r="K175" s="4"/>
      <c r="L175" s="4"/>
      <c r="M175" s="4"/>
      <c r="N175" s="9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68"/>
      <c r="F176" s="4"/>
      <c r="G176" s="4"/>
      <c r="H176" s="4"/>
      <c r="I176" s="4"/>
      <c r="J176" s="4"/>
      <c r="K176" s="4"/>
      <c r="L176" s="4"/>
      <c r="M176" s="4"/>
      <c r="N176" s="9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68"/>
      <c r="F177" s="4"/>
      <c r="G177" s="4"/>
      <c r="H177" s="4"/>
      <c r="I177" s="4"/>
      <c r="J177" s="4"/>
      <c r="K177" s="4"/>
      <c r="L177" s="4"/>
      <c r="M177" s="4"/>
      <c r="N177" s="9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68"/>
      <c r="F178" s="4"/>
      <c r="G178" s="4"/>
      <c r="H178" s="4"/>
      <c r="I178" s="4"/>
      <c r="J178" s="4"/>
      <c r="K178" s="4"/>
      <c r="L178" s="4"/>
      <c r="M178" s="4"/>
      <c r="N178" s="9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68"/>
      <c r="F179" s="4"/>
      <c r="G179" s="4"/>
      <c r="H179" s="4"/>
      <c r="I179" s="4"/>
      <c r="J179" s="4"/>
      <c r="K179" s="4"/>
      <c r="L179" s="4"/>
      <c r="M179" s="4"/>
      <c r="N179" s="9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68"/>
      <c r="F180" s="4"/>
      <c r="G180" s="4"/>
      <c r="H180" s="4"/>
      <c r="I180" s="4"/>
      <c r="J180" s="4"/>
      <c r="K180" s="4"/>
      <c r="L180" s="4"/>
      <c r="M180" s="4"/>
      <c r="N180" s="9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68"/>
      <c r="F181" s="4"/>
      <c r="G181" s="4"/>
      <c r="H181" s="4"/>
      <c r="I181" s="4"/>
      <c r="J181" s="4"/>
      <c r="K181" s="4"/>
      <c r="L181" s="4"/>
      <c r="M181" s="4"/>
      <c r="N181" s="9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68"/>
      <c r="F182" s="4"/>
      <c r="G182" s="4"/>
      <c r="H182" s="4"/>
      <c r="I182" s="4"/>
      <c r="J182" s="4"/>
      <c r="K182" s="4"/>
      <c r="L182" s="4"/>
      <c r="M182" s="4"/>
      <c r="N182" s="9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68"/>
      <c r="F183" s="4"/>
      <c r="G183" s="4"/>
      <c r="H183" s="4"/>
      <c r="I183" s="4"/>
      <c r="J183" s="4"/>
      <c r="K183" s="4"/>
      <c r="L183" s="4"/>
      <c r="M183" s="4"/>
      <c r="N183" s="9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68"/>
      <c r="F184" s="4"/>
      <c r="G184" s="4"/>
      <c r="H184" s="4"/>
      <c r="I184" s="4"/>
      <c r="J184" s="4"/>
      <c r="K184" s="4"/>
      <c r="L184" s="4"/>
      <c r="M184" s="4"/>
      <c r="N184" s="9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68"/>
      <c r="F185" s="4"/>
      <c r="G185" s="4"/>
      <c r="H185" s="4"/>
      <c r="I185" s="4"/>
      <c r="J185" s="4"/>
      <c r="K185" s="4"/>
      <c r="L185" s="4"/>
      <c r="M185" s="4"/>
      <c r="N185" s="9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68"/>
      <c r="F186" s="4"/>
      <c r="G186" s="4"/>
      <c r="H186" s="4"/>
      <c r="I186" s="4"/>
      <c r="J186" s="4"/>
      <c r="K186" s="4"/>
      <c r="L186" s="4"/>
      <c r="M186" s="4"/>
      <c r="N186" s="9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68"/>
      <c r="F187" s="4"/>
      <c r="G187" s="4"/>
      <c r="H187" s="4"/>
      <c r="I187" s="4"/>
      <c r="J187" s="4"/>
      <c r="K187" s="4"/>
      <c r="L187" s="4"/>
      <c r="M187" s="4"/>
      <c r="N187" s="9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68"/>
      <c r="F188" s="4"/>
      <c r="G188" s="4"/>
      <c r="H188" s="4"/>
      <c r="I188" s="4"/>
      <c r="J188" s="4"/>
      <c r="K188" s="4"/>
      <c r="L188" s="4"/>
      <c r="M188" s="4"/>
      <c r="N188" s="9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68"/>
      <c r="F189" s="4"/>
      <c r="G189" s="4"/>
      <c r="H189" s="4"/>
      <c r="I189" s="4"/>
      <c r="J189" s="4"/>
      <c r="K189" s="4"/>
      <c r="L189" s="4"/>
      <c r="M189" s="4"/>
      <c r="N189" s="9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68"/>
      <c r="F190" s="4"/>
      <c r="G190" s="4"/>
      <c r="H190" s="4"/>
      <c r="I190" s="4"/>
      <c r="J190" s="4"/>
      <c r="K190" s="4"/>
      <c r="L190" s="4"/>
      <c r="M190" s="4"/>
      <c r="N190" s="9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68"/>
      <c r="F191" s="4"/>
      <c r="G191" s="4"/>
      <c r="H191" s="4"/>
      <c r="I191" s="4"/>
      <c r="J191" s="4"/>
      <c r="K191" s="4"/>
      <c r="L191" s="4"/>
      <c r="M191" s="4"/>
      <c r="N191" s="9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68"/>
      <c r="F192" s="4"/>
      <c r="G192" s="4"/>
      <c r="H192" s="4"/>
      <c r="I192" s="4"/>
      <c r="J192" s="4"/>
      <c r="K192" s="4"/>
      <c r="L192" s="4"/>
      <c r="M192" s="4"/>
      <c r="N192" s="9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68"/>
      <c r="F193" s="4"/>
      <c r="G193" s="4"/>
      <c r="H193" s="4"/>
      <c r="I193" s="4"/>
      <c r="J193" s="4"/>
      <c r="K193" s="4"/>
      <c r="L193" s="4"/>
      <c r="M193" s="4"/>
      <c r="N193" s="9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68"/>
      <c r="F194" s="4"/>
      <c r="G194" s="4"/>
      <c r="H194" s="4"/>
      <c r="I194" s="4"/>
      <c r="J194" s="4"/>
      <c r="K194" s="4"/>
      <c r="L194" s="4"/>
      <c r="M194" s="4"/>
      <c r="N194" s="9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68"/>
      <c r="F195" s="4"/>
      <c r="G195" s="4"/>
      <c r="H195" s="4"/>
      <c r="I195" s="4"/>
      <c r="J195" s="4"/>
      <c r="K195" s="4"/>
      <c r="L195" s="4"/>
      <c r="M195" s="4"/>
      <c r="N195" s="9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68"/>
      <c r="F196" s="4"/>
      <c r="G196" s="4"/>
      <c r="H196" s="4"/>
      <c r="I196" s="4"/>
      <c r="J196" s="4"/>
      <c r="K196" s="4"/>
      <c r="L196" s="4"/>
      <c r="M196" s="4"/>
      <c r="N196" s="9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68"/>
      <c r="F197" s="4"/>
      <c r="G197" s="4"/>
      <c r="H197" s="4"/>
      <c r="I197" s="4"/>
      <c r="J197" s="4"/>
      <c r="K197" s="4"/>
      <c r="L197" s="4"/>
      <c r="M197" s="4"/>
      <c r="N197" s="9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68"/>
      <c r="F198" s="4"/>
      <c r="G198" s="4"/>
      <c r="H198" s="4"/>
      <c r="I198" s="4"/>
      <c r="J198" s="4"/>
      <c r="K198" s="4"/>
      <c r="L198" s="4"/>
      <c r="M198" s="4"/>
      <c r="N198" s="9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68"/>
      <c r="F199" s="4"/>
      <c r="G199" s="4"/>
      <c r="H199" s="4"/>
      <c r="I199" s="4"/>
      <c r="J199" s="4"/>
      <c r="K199" s="4"/>
      <c r="L199" s="4"/>
      <c r="M199" s="4"/>
      <c r="N199" s="9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68"/>
      <c r="F200" s="4"/>
      <c r="G200" s="4"/>
      <c r="H200" s="4"/>
      <c r="I200" s="4"/>
      <c r="J200" s="4"/>
      <c r="K200" s="4"/>
      <c r="L200" s="4"/>
      <c r="M200" s="4"/>
      <c r="N200" s="9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68"/>
      <c r="F201" s="4"/>
      <c r="G201" s="4"/>
      <c r="H201" s="4"/>
      <c r="I201" s="4"/>
      <c r="J201" s="4"/>
      <c r="K201" s="4"/>
      <c r="L201" s="4"/>
      <c r="M201" s="4"/>
      <c r="N201" s="9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68"/>
      <c r="F202" s="4"/>
      <c r="G202" s="4"/>
      <c r="H202" s="4"/>
      <c r="I202" s="4"/>
      <c r="J202" s="4"/>
      <c r="K202" s="4"/>
      <c r="L202" s="4"/>
      <c r="M202" s="4"/>
      <c r="N202" s="9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68"/>
      <c r="F203" s="4"/>
      <c r="G203" s="4"/>
      <c r="H203" s="4"/>
      <c r="I203" s="4"/>
      <c r="J203" s="4"/>
      <c r="K203" s="4"/>
      <c r="L203" s="4"/>
      <c r="M203" s="4"/>
      <c r="N203" s="9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68"/>
      <c r="F204" s="4"/>
      <c r="G204" s="4"/>
      <c r="H204" s="4"/>
      <c r="I204" s="4"/>
      <c r="J204" s="4"/>
      <c r="K204" s="4"/>
      <c r="L204" s="4"/>
      <c r="M204" s="4"/>
      <c r="N204" s="9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68"/>
      <c r="F205" s="4"/>
      <c r="G205" s="4"/>
      <c r="H205" s="4"/>
      <c r="I205" s="4"/>
      <c r="J205" s="4"/>
      <c r="K205" s="4"/>
      <c r="L205" s="4"/>
      <c r="M205" s="4"/>
      <c r="N205" s="9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68"/>
      <c r="F206" s="4"/>
      <c r="G206" s="4"/>
      <c r="H206" s="4"/>
      <c r="I206" s="4"/>
      <c r="J206" s="4"/>
      <c r="K206" s="4"/>
      <c r="L206" s="4"/>
      <c r="M206" s="4"/>
      <c r="N206" s="9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68"/>
      <c r="F207" s="4"/>
      <c r="G207" s="4"/>
      <c r="H207" s="4"/>
      <c r="I207" s="4"/>
      <c r="J207" s="4"/>
      <c r="K207" s="4"/>
      <c r="L207" s="4"/>
      <c r="M207" s="4"/>
      <c r="N207" s="9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68"/>
      <c r="F208" s="4"/>
      <c r="G208" s="4"/>
      <c r="H208" s="4"/>
      <c r="I208" s="4"/>
      <c r="J208" s="4"/>
      <c r="K208" s="4"/>
      <c r="L208" s="4"/>
      <c r="M208" s="4"/>
      <c r="N208" s="9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68"/>
      <c r="F209" s="4"/>
      <c r="G209" s="4"/>
      <c r="H209" s="4"/>
      <c r="I209" s="4"/>
      <c r="J209" s="4"/>
      <c r="K209" s="4"/>
      <c r="L209" s="4"/>
      <c r="M209" s="4"/>
      <c r="N209" s="9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68"/>
      <c r="F210" s="4"/>
      <c r="G210" s="4"/>
      <c r="H210" s="4"/>
      <c r="I210" s="4"/>
      <c r="J210" s="4"/>
      <c r="K210" s="4"/>
      <c r="L210" s="4"/>
      <c r="M210" s="4"/>
      <c r="N210" s="9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68"/>
      <c r="F211" s="4"/>
      <c r="G211" s="4"/>
      <c r="H211" s="4"/>
      <c r="I211" s="4"/>
      <c r="J211" s="4"/>
      <c r="K211" s="4"/>
      <c r="L211" s="4"/>
      <c r="M211" s="4"/>
      <c r="N211" s="9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68"/>
      <c r="F212" s="4"/>
      <c r="G212" s="4"/>
      <c r="H212" s="4"/>
      <c r="I212" s="4"/>
      <c r="J212" s="4"/>
      <c r="K212" s="4"/>
      <c r="L212" s="4"/>
      <c r="M212" s="4"/>
      <c r="N212" s="9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68"/>
      <c r="F213" s="4"/>
      <c r="G213" s="4"/>
      <c r="H213" s="4"/>
      <c r="I213" s="4"/>
      <c r="J213" s="4"/>
      <c r="K213" s="4"/>
      <c r="L213" s="4"/>
      <c r="M213" s="4"/>
      <c r="N213" s="9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68"/>
      <c r="F214" s="4"/>
      <c r="G214" s="4"/>
      <c r="H214" s="4"/>
      <c r="I214" s="4"/>
      <c r="J214" s="4"/>
      <c r="K214" s="4"/>
      <c r="L214" s="4"/>
      <c r="M214" s="4"/>
      <c r="N214" s="9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68"/>
      <c r="F215" s="4"/>
      <c r="G215" s="4"/>
      <c r="H215" s="4"/>
      <c r="I215" s="4"/>
      <c r="J215" s="4"/>
      <c r="K215" s="4"/>
      <c r="L215" s="4"/>
      <c r="M215" s="4"/>
      <c r="N215" s="9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68"/>
      <c r="F216" s="4"/>
      <c r="G216" s="4"/>
      <c r="H216" s="4"/>
      <c r="I216" s="4"/>
      <c r="J216" s="4"/>
      <c r="K216" s="4"/>
      <c r="L216" s="4"/>
      <c r="M216" s="4"/>
      <c r="N216" s="9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68"/>
      <c r="F217" s="4"/>
      <c r="G217" s="4"/>
      <c r="H217" s="4"/>
      <c r="I217" s="4"/>
      <c r="J217" s="4"/>
      <c r="K217" s="4"/>
      <c r="L217" s="4"/>
      <c r="M217" s="4"/>
      <c r="N217" s="9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68"/>
      <c r="F218" s="4"/>
      <c r="G218" s="4"/>
      <c r="H218" s="4"/>
      <c r="I218" s="4"/>
      <c r="J218" s="4"/>
      <c r="K218" s="4"/>
      <c r="L218" s="4"/>
      <c r="M218" s="4"/>
      <c r="N218" s="9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68"/>
      <c r="F219" s="4"/>
      <c r="G219" s="4"/>
      <c r="H219" s="4"/>
      <c r="I219" s="4"/>
      <c r="J219" s="4"/>
      <c r="K219" s="4"/>
      <c r="L219" s="4"/>
      <c r="M219" s="4"/>
      <c r="N219" s="9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68"/>
      <c r="F220" s="4"/>
      <c r="G220" s="4"/>
      <c r="H220" s="4"/>
      <c r="I220" s="4"/>
      <c r="J220" s="4"/>
      <c r="K220" s="4"/>
      <c r="L220" s="4"/>
      <c r="M220" s="4"/>
      <c r="N220" s="9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68"/>
      <c r="F221" s="4"/>
      <c r="G221" s="4"/>
      <c r="H221" s="4"/>
      <c r="I221" s="4"/>
      <c r="J221" s="4"/>
      <c r="K221" s="4"/>
      <c r="L221" s="4"/>
      <c r="M221" s="4"/>
      <c r="N221" s="9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68"/>
      <c r="F222" s="4"/>
      <c r="G222" s="4"/>
      <c r="H222" s="4"/>
      <c r="I222" s="4"/>
      <c r="J222" s="4"/>
      <c r="K222" s="4"/>
      <c r="L222" s="4"/>
      <c r="M222" s="4"/>
      <c r="N222" s="9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68"/>
      <c r="F223" s="4"/>
      <c r="G223" s="4"/>
      <c r="H223" s="4"/>
      <c r="I223" s="4"/>
      <c r="J223" s="4"/>
      <c r="K223" s="4"/>
      <c r="L223" s="4"/>
      <c r="M223" s="4"/>
      <c r="N223" s="9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68"/>
      <c r="F224" s="4"/>
      <c r="G224" s="4"/>
      <c r="H224" s="4"/>
      <c r="I224" s="4"/>
      <c r="J224" s="4"/>
      <c r="K224" s="4"/>
      <c r="L224" s="4"/>
      <c r="M224" s="4"/>
      <c r="N224" s="9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68"/>
      <c r="F225" s="4"/>
      <c r="G225" s="4"/>
      <c r="H225" s="4"/>
      <c r="I225" s="4"/>
      <c r="J225" s="4"/>
      <c r="K225" s="4"/>
      <c r="L225" s="4"/>
      <c r="M225" s="4"/>
      <c r="N225" s="9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68"/>
      <c r="F226" s="4"/>
      <c r="G226" s="4"/>
      <c r="H226" s="4"/>
      <c r="I226" s="4"/>
      <c r="J226" s="4"/>
      <c r="K226" s="4"/>
      <c r="L226" s="4"/>
      <c r="M226" s="4"/>
      <c r="N226" s="9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68"/>
      <c r="F227" s="4"/>
      <c r="G227" s="4"/>
      <c r="H227" s="4"/>
      <c r="I227" s="4"/>
      <c r="J227" s="4"/>
      <c r="K227" s="4"/>
      <c r="L227" s="4"/>
      <c r="M227" s="4"/>
      <c r="N227" s="9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68"/>
      <c r="F228" s="4"/>
      <c r="G228" s="4"/>
      <c r="H228" s="4"/>
      <c r="I228" s="4"/>
      <c r="J228" s="4"/>
      <c r="K228" s="4"/>
      <c r="L228" s="4"/>
      <c r="M228" s="4"/>
      <c r="N228" s="9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68"/>
      <c r="F229" s="4"/>
      <c r="G229" s="4"/>
      <c r="H229" s="4"/>
      <c r="I229" s="4"/>
      <c r="J229" s="4"/>
      <c r="K229" s="4"/>
      <c r="L229" s="4"/>
      <c r="M229" s="4"/>
      <c r="N229" s="9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68"/>
      <c r="F230" s="4"/>
      <c r="G230" s="4"/>
      <c r="H230" s="4"/>
      <c r="I230" s="4"/>
      <c r="J230" s="4"/>
      <c r="K230" s="4"/>
      <c r="L230" s="4"/>
      <c r="M230" s="4"/>
      <c r="N230" s="9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68"/>
      <c r="F231" s="4"/>
      <c r="G231" s="4"/>
      <c r="H231" s="4"/>
      <c r="I231" s="4"/>
      <c r="J231" s="4"/>
      <c r="K231" s="4"/>
      <c r="L231" s="4"/>
      <c r="M231" s="4"/>
      <c r="N231" s="9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68"/>
      <c r="F232" s="4"/>
      <c r="G232" s="4"/>
      <c r="H232" s="4"/>
      <c r="I232" s="4"/>
      <c r="J232" s="4"/>
      <c r="K232" s="4"/>
      <c r="L232" s="4"/>
      <c r="M232" s="4"/>
      <c r="N232" s="9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68"/>
      <c r="F233" s="4"/>
      <c r="G233" s="4"/>
      <c r="H233" s="4"/>
      <c r="I233" s="4"/>
      <c r="J233" s="4"/>
      <c r="K233" s="4"/>
      <c r="L233" s="4"/>
      <c r="M233" s="4"/>
      <c r="N233" s="9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68"/>
      <c r="F234" s="4"/>
      <c r="G234" s="4"/>
      <c r="H234" s="4"/>
      <c r="I234" s="4"/>
      <c r="J234" s="4"/>
      <c r="K234" s="4"/>
      <c r="L234" s="4"/>
      <c r="M234" s="4"/>
      <c r="N234" s="9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68"/>
      <c r="F235" s="4"/>
      <c r="G235" s="4"/>
      <c r="H235" s="4"/>
      <c r="I235" s="4"/>
      <c r="J235" s="4"/>
      <c r="K235" s="4"/>
      <c r="L235" s="4"/>
      <c r="M235" s="4"/>
      <c r="N235" s="9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68"/>
      <c r="F236" s="4"/>
      <c r="G236" s="4"/>
      <c r="H236" s="4"/>
      <c r="I236" s="4"/>
      <c r="J236" s="4"/>
      <c r="K236" s="4"/>
      <c r="L236" s="4"/>
      <c r="M236" s="4"/>
      <c r="N236" s="9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68"/>
      <c r="F237" s="4"/>
      <c r="G237" s="4"/>
      <c r="H237" s="4"/>
      <c r="I237" s="4"/>
      <c r="J237" s="4"/>
      <c r="K237" s="4"/>
      <c r="L237" s="4"/>
      <c r="M237" s="4"/>
      <c r="N237" s="9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68"/>
      <c r="F238" s="4"/>
      <c r="G238" s="4"/>
      <c r="H238" s="4"/>
      <c r="I238" s="4"/>
      <c r="J238" s="4"/>
      <c r="K238" s="4"/>
      <c r="L238" s="4"/>
      <c r="M238" s="4"/>
      <c r="N238" s="9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68"/>
      <c r="F239" s="4"/>
      <c r="G239" s="4"/>
      <c r="H239" s="4"/>
      <c r="I239" s="4"/>
      <c r="J239" s="4"/>
      <c r="K239" s="4"/>
      <c r="L239" s="4"/>
      <c r="M239" s="4"/>
      <c r="N239" s="9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68"/>
      <c r="F240" s="4"/>
      <c r="G240" s="4"/>
      <c r="H240" s="4"/>
      <c r="I240" s="4"/>
      <c r="J240" s="4"/>
      <c r="K240" s="4"/>
      <c r="L240" s="4"/>
      <c r="M240" s="4"/>
      <c r="N240" s="9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68"/>
      <c r="F241" s="4"/>
      <c r="G241" s="4"/>
      <c r="H241" s="4"/>
      <c r="I241" s="4"/>
      <c r="J241" s="4"/>
      <c r="K241" s="4"/>
      <c r="L241" s="4"/>
      <c r="M241" s="4"/>
      <c r="N241" s="9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68"/>
      <c r="F242" s="4"/>
      <c r="G242" s="4"/>
      <c r="H242" s="4"/>
      <c r="I242" s="4"/>
      <c r="J242" s="4"/>
      <c r="K242" s="4"/>
      <c r="L242" s="4"/>
      <c r="M242" s="4"/>
      <c r="N242" s="9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68"/>
      <c r="F243" s="4"/>
      <c r="G243" s="4"/>
      <c r="H243" s="4"/>
      <c r="I243" s="4"/>
      <c r="J243" s="4"/>
      <c r="K243" s="4"/>
      <c r="L243" s="4"/>
      <c r="M243" s="4"/>
      <c r="N243" s="9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68"/>
      <c r="F244" s="4"/>
      <c r="G244" s="4"/>
      <c r="H244" s="4"/>
      <c r="I244" s="4"/>
      <c r="J244" s="4"/>
      <c r="K244" s="4"/>
      <c r="L244" s="4"/>
      <c r="M244" s="4"/>
      <c r="N244" s="9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68"/>
      <c r="F245" s="4"/>
      <c r="G245" s="4"/>
      <c r="H245" s="4"/>
      <c r="I245" s="4"/>
      <c r="J245" s="4"/>
      <c r="K245" s="4"/>
      <c r="L245" s="4"/>
      <c r="M245" s="4"/>
      <c r="N245" s="9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68"/>
      <c r="F246" s="4"/>
      <c r="G246" s="4"/>
      <c r="H246" s="4"/>
      <c r="I246" s="4"/>
      <c r="J246" s="4"/>
      <c r="K246" s="4"/>
      <c r="L246" s="4"/>
      <c r="M246" s="4"/>
      <c r="N246" s="9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68"/>
      <c r="F247" s="4"/>
      <c r="G247" s="4"/>
      <c r="H247" s="4"/>
      <c r="I247" s="4"/>
      <c r="J247" s="4"/>
      <c r="K247" s="4"/>
      <c r="L247" s="4"/>
      <c r="M247" s="4"/>
      <c r="N247" s="9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68"/>
      <c r="F248" s="4"/>
      <c r="G248" s="4"/>
      <c r="H248" s="4"/>
      <c r="I248" s="4"/>
      <c r="J248" s="4"/>
      <c r="K248" s="4"/>
      <c r="L248" s="4"/>
      <c r="M248" s="4"/>
      <c r="N248" s="9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68"/>
      <c r="F249" s="4"/>
      <c r="G249" s="4"/>
      <c r="H249" s="4"/>
      <c r="I249" s="4"/>
      <c r="J249" s="4"/>
      <c r="K249" s="4"/>
      <c r="L249" s="4"/>
      <c r="M249" s="4"/>
      <c r="N249" s="9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68"/>
      <c r="F250" s="4"/>
      <c r="G250" s="4"/>
      <c r="H250" s="4"/>
      <c r="I250" s="4"/>
      <c r="J250" s="4"/>
      <c r="K250" s="4"/>
      <c r="L250" s="4"/>
      <c r="M250" s="4"/>
      <c r="N250" s="9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68"/>
      <c r="F251" s="4"/>
      <c r="G251" s="4"/>
      <c r="H251" s="4"/>
      <c r="I251" s="4"/>
      <c r="J251" s="4"/>
      <c r="K251" s="4"/>
      <c r="L251" s="4"/>
      <c r="M251" s="4"/>
      <c r="N251" s="9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68"/>
      <c r="F252" s="4"/>
      <c r="G252" s="4"/>
      <c r="H252" s="4"/>
      <c r="I252" s="4"/>
      <c r="J252" s="4"/>
      <c r="K252" s="4"/>
      <c r="L252" s="4"/>
      <c r="M252" s="4"/>
      <c r="N252" s="9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68"/>
      <c r="F253" s="4"/>
      <c r="G253" s="4"/>
      <c r="H253" s="4"/>
      <c r="I253" s="4"/>
      <c r="J253" s="4"/>
      <c r="K253" s="4"/>
      <c r="L253" s="4"/>
      <c r="M253" s="4"/>
      <c r="N253" s="9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68"/>
      <c r="F254" s="4"/>
      <c r="G254" s="4"/>
      <c r="H254" s="4"/>
      <c r="I254" s="4"/>
      <c r="J254" s="4"/>
      <c r="K254" s="4"/>
      <c r="L254" s="4"/>
      <c r="M254" s="4"/>
      <c r="N254" s="9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68"/>
      <c r="F255" s="4"/>
      <c r="G255" s="4"/>
      <c r="H255" s="4"/>
      <c r="I255" s="4"/>
      <c r="J255" s="4"/>
      <c r="K255" s="4"/>
      <c r="L255" s="4"/>
      <c r="M255" s="4"/>
      <c r="N255" s="9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68"/>
      <c r="F256" s="4"/>
      <c r="G256" s="4"/>
      <c r="H256" s="4"/>
      <c r="I256" s="4"/>
      <c r="J256" s="4"/>
      <c r="K256" s="4"/>
      <c r="L256" s="4"/>
      <c r="M256" s="4"/>
      <c r="N256" s="9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68"/>
      <c r="F257" s="4"/>
      <c r="G257" s="4"/>
      <c r="H257" s="4"/>
      <c r="I257" s="4"/>
      <c r="J257" s="4"/>
      <c r="K257" s="4"/>
      <c r="L257" s="4"/>
      <c r="M257" s="4"/>
      <c r="N257" s="9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68"/>
      <c r="F258" s="4"/>
      <c r="G258" s="4"/>
      <c r="H258" s="4"/>
      <c r="I258" s="4"/>
      <c r="J258" s="4"/>
      <c r="K258" s="4"/>
      <c r="L258" s="4"/>
      <c r="M258" s="4"/>
      <c r="N258" s="9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68"/>
      <c r="F259" s="4"/>
      <c r="G259" s="4"/>
      <c r="H259" s="4"/>
      <c r="I259" s="4"/>
      <c r="J259" s="4"/>
      <c r="K259" s="4"/>
      <c r="L259" s="4"/>
      <c r="M259" s="4"/>
      <c r="N259" s="9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68"/>
      <c r="F260" s="4"/>
      <c r="G260" s="4"/>
      <c r="H260" s="4"/>
      <c r="I260" s="4"/>
      <c r="J260" s="4"/>
      <c r="K260" s="4"/>
      <c r="L260" s="4"/>
      <c r="M260" s="4"/>
      <c r="N260" s="9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68"/>
      <c r="F261" s="4"/>
      <c r="G261" s="4"/>
      <c r="H261" s="4"/>
      <c r="I261" s="4"/>
      <c r="J261" s="4"/>
      <c r="K261" s="4"/>
      <c r="L261" s="4"/>
      <c r="M261" s="4"/>
      <c r="N261" s="9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68"/>
      <c r="F262" s="4"/>
      <c r="G262" s="4"/>
      <c r="H262" s="4"/>
      <c r="I262" s="4"/>
      <c r="J262" s="4"/>
      <c r="K262" s="4"/>
      <c r="L262" s="4"/>
      <c r="M262" s="4"/>
      <c r="N262" s="9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68"/>
      <c r="F263" s="4"/>
      <c r="G263" s="4"/>
      <c r="H263" s="4"/>
      <c r="I263" s="4"/>
      <c r="J263" s="4"/>
      <c r="K263" s="4"/>
      <c r="L263" s="4"/>
      <c r="M263" s="4"/>
      <c r="N263" s="9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68"/>
      <c r="F264" s="4"/>
      <c r="G264" s="4"/>
      <c r="H264" s="4"/>
      <c r="I264" s="4"/>
      <c r="J264" s="4"/>
      <c r="K264" s="4"/>
      <c r="L264" s="4"/>
      <c r="M264" s="4"/>
      <c r="N264" s="9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68"/>
      <c r="F265" s="4"/>
      <c r="G265" s="4"/>
      <c r="H265" s="4"/>
      <c r="I265" s="4"/>
      <c r="J265" s="4"/>
      <c r="K265" s="4"/>
      <c r="L265" s="4"/>
      <c r="M265" s="4"/>
      <c r="N265" s="9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68"/>
      <c r="F266" s="4"/>
      <c r="G266" s="4"/>
      <c r="H266" s="4"/>
      <c r="I266" s="4"/>
      <c r="J266" s="4"/>
      <c r="K266" s="4"/>
      <c r="L266" s="4"/>
      <c r="M266" s="4"/>
      <c r="N266" s="9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68"/>
      <c r="F267" s="4"/>
      <c r="G267" s="4"/>
      <c r="H267" s="4"/>
      <c r="I267" s="4"/>
      <c r="J267" s="4"/>
      <c r="K267" s="4"/>
      <c r="L267" s="4"/>
      <c r="M267" s="4"/>
      <c r="N267" s="9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68"/>
      <c r="F268" s="4"/>
      <c r="G268" s="4"/>
      <c r="H268" s="4"/>
      <c r="I268" s="4"/>
      <c r="J268" s="4"/>
      <c r="K268" s="4"/>
      <c r="L268" s="4"/>
      <c r="M268" s="4"/>
      <c r="N268" s="9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68"/>
      <c r="F269" s="4"/>
      <c r="G269" s="4"/>
      <c r="H269" s="4"/>
      <c r="I269" s="4"/>
      <c r="J269" s="4"/>
      <c r="K269" s="4"/>
      <c r="L269" s="4"/>
      <c r="M269" s="4"/>
      <c r="N269" s="9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68"/>
      <c r="F270" s="4"/>
      <c r="G270" s="4"/>
      <c r="H270" s="4"/>
      <c r="I270" s="4"/>
      <c r="J270" s="4"/>
      <c r="K270" s="4"/>
      <c r="L270" s="4"/>
      <c r="M270" s="4"/>
      <c r="N270" s="9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68"/>
      <c r="F271" s="4"/>
      <c r="G271" s="4"/>
      <c r="H271" s="4"/>
      <c r="I271" s="4"/>
      <c r="J271" s="4"/>
      <c r="K271" s="4"/>
      <c r="L271" s="4"/>
      <c r="M271" s="4"/>
      <c r="N271" s="9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68"/>
      <c r="F272" s="4"/>
      <c r="G272" s="4"/>
      <c r="H272" s="4"/>
      <c r="I272" s="4"/>
      <c r="J272" s="4"/>
      <c r="K272" s="4"/>
      <c r="L272" s="4"/>
      <c r="M272" s="4"/>
      <c r="N272" s="9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68"/>
      <c r="F273" s="4"/>
      <c r="G273" s="4"/>
      <c r="H273" s="4"/>
      <c r="I273" s="4"/>
      <c r="J273" s="4"/>
      <c r="K273" s="4"/>
      <c r="L273" s="4"/>
      <c r="M273" s="4"/>
      <c r="N273" s="9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68"/>
      <c r="F274" s="4"/>
      <c r="G274" s="4"/>
      <c r="H274" s="4"/>
      <c r="I274" s="4"/>
      <c r="J274" s="4"/>
      <c r="K274" s="4"/>
      <c r="L274" s="4"/>
      <c r="M274" s="4"/>
      <c r="N274" s="9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68"/>
      <c r="F275" s="4"/>
      <c r="G275" s="4"/>
      <c r="H275" s="4"/>
      <c r="I275" s="4"/>
      <c r="J275" s="4"/>
      <c r="K275" s="4"/>
      <c r="L275" s="4"/>
      <c r="M275" s="4"/>
      <c r="N275" s="9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68"/>
      <c r="F276" s="4"/>
      <c r="G276" s="4"/>
      <c r="H276" s="4"/>
      <c r="I276" s="4"/>
      <c r="J276" s="4"/>
      <c r="K276" s="4"/>
      <c r="L276" s="4"/>
      <c r="M276" s="4"/>
      <c r="N276" s="9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68"/>
      <c r="F277" s="4"/>
      <c r="G277" s="4"/>
      <c r="H277" s="4"/>
      <c r="I277" s="4"/>
      <c r="J277" s="4"/>
      <c r="K277" s="4"/>
      <c r="L277" s="4"/>
      <c r="M277" s="4"/>
      <c r="N277" s="9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68"/>
      <c r="F278" s="4"/>
      <c r="G278" s="4"/>
      <c r="H278" s="4"/>
      <c r="I278" s="4"/>
      <c r="J278" s="4"/>
      <c r="K278" s="4"/>
      <c r="L278" s="4"/>
      <c r="M278" s="4"/>
      <c r="N278" s="9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68"/>
      <c r="F279" s="4"/>
      <c r="G279" s="4"/>
      <c r="H279" s="4"/>
      <c r="I279" s="4"/>
      <c r="J279" s="4"/>
      <c r="K279" s="4"/>
      <c r="L279" s="4"/>
      <c r="M279" s="4"/>
      <c r="N279" s="9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68"/>
      <c r="F280" s="4"/>
      <c r="G280" s="4"/>
      <c r="H280" s="4"/>
      <c r="I280" s="4"/>
      <c r="J280" s="4"/>
      <c r="K280" s="4"/>
      <c r="L280" s="4"/>
      <c r="M280" s="4"/>
      <c r="N280" s="9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68"/>
      <c r="F281" s="4"/>
      <c r="G281" s="4"/>
      <c r="H281" s="4"/>
      <c r="I281" s="4"/>
      <c r="J281" s="4"/>
      <c r="K281" s="4"/>
      <c r="L281" s="4"/>
      <c r="M281" s="4"/>
      <c r="N281" s="9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68"/>
      <c r="F282" s="4"/>
      <c r="G282" s="4"/>
      <c r="H282" s="4"/>
      <c r="I282" s="4"/>
      <c r="J282" s="4"/>
      <c r="K282" s="4"/>
      <c r="L282" s="4"/>
      <c r="M282" s="4"/>
      <c r="N282" s="9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68"/>
      <c r="F283" s="4"/>
      <c r="G283" s="4"/>
      <c r="H283" s="4"/>
      <c r="I283" s="4"/>
      <c r="J283" s="4"/>
      <c r="K283" s="4"/>
      <c r="L283" s="4"/>
      <c r="M283" s="4"/>
      <c r="N283" s="9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68"/>
      <c r="F284" s="4"/>
      <c r="G284" s="4"/>
      <c r="H284" s="4"/>
      <c r="I284" s="4"/>
      <c r="J284" s="4"/>
      <c r="K284" s="4"/>
      <c r="L284" s="4"/>
      <c r="M284" s="4"/>
      <c r="N284" s="9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68"/>
      <c r="F285" s="4"/>
      <c r="G285" s="4"/>
      <c r="H285" s="4"/>
      <c r="I285" s="4"/>
      <c r="J285" s="4"/>
      <c r="K285" s="4"/>
      <c r="L285" s="4"/>
      <c r="M285" s="4"/>
      <c r="N285" s="9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68"/>
      <c r="F286" s="4"/>
      <c r="G286" s="4"/>
      <c r="H286" s="4"/>
      <c r="I286" s="4"/>
      <c r="J286" s="4"/>
      <c r="K286" s="4"/>
      <c r="L286" s="4"/>
      <c r="M286" s="4"/>
      <c r="N286" s="9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68"/>
      <c r="F287" s="4"/>
      <c r="G287" s="4"/>
      <c r="H287" s="4"/>
      <c r="I287" s="4"/>
      <c r="J287" s="4"/>
      <c r="K287" s="4"/>
      <c r="L287" s="4"/>
      <c r="M287" s="4"/>
      <c r="N287" s="9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68"/>
      <c r="F288" s="4"/>
      <c r="G288" s="4"/>
      <c r="H288" s="4"/>
      <c r="I288" s="4"/>
      <c r="J288" s="4"/>
      <c r="K288" s="4"/>
      <c r="L288" s="4"/>
      <c r="M288" s="4"/>
      <c r="N288" s="9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68"/>
      <c r="F289" s="4"/>
      <c r="G289" s="4"/>
      <c r="H289" s="4"/>
      <c r="I289" s="4"/>
      <c r="J289" s="4"/>
      <c r="K289" s="4"/>
      <c r="L289" s="4"/>
      <c r="M289" s="4"/>
      <c r="N289" s="9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68"/>
      <c r="F290" s="4"/>
      <c r="G290" s="4"/>
      <c r="H290" s="4"/>
      <c r="I290" s="4"/>
      <c r="J290" s="4"/>
      <c r="K290" s="4"/>
      <c r="L290" s="4"/>
      <c r="M290" s="4"/>
      <c r="N290" s="9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68"/>
      <c r="F291" s="4"/>
      <c r="G291" s="4"/>
      <c r="H291" s="4"/>
      <c r="I291" s="4"/>
      <c r="J291" s="4"/>
      <c r="K291" s="4"/>
      <c r="L291" s="4"/>
      <c r="M291" s="4"/>
      <c r="N291" s="9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68"/>
      <c r="F292" s="4"/>
      <c r="G292" s="4"/>
      <c r="H292" s="4"/>
      <c r="I292" s="4"/>
      <c r="J292" s="4"/>
      <c r="K292" s="4"/>
      <c r="L292" s="4"/>
      <c r="M292" s="4"/>
      <c r="N292" s="9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68"/>
      <c r="F293" s="4"/>
      <c r="G293" s="4"/>
      <c r="H293" s="4"/>
      <c r="I293" s="4"/>
      <c r="J293" s="4"/>
      <c r="K293" s="4"/>
      <c r="L293" s="4"/>
      <c r="M293" s="4"/>
      <c r="N293" s="9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68"/>
      <c r="F294" s="4"/>
      <c r="G294" s="4"/>
      <c r="H294" s="4"/>
      <c r="I294" s="4"/>
      <c r="J294" s="4"/>
      <c r="K294" s="4"/>
      <c r="L294" s="4"/>
      <c r="M294" s="4"/>
      <c r="N294" s="9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68"/>
      <c r="F295" s="4"/>
      <c r="G295" s="4"/>
      <c r="H295" s="4"/>
      <c r="I295" s="4"/>
      <c r="J295" s="4"/>
      <c r="K295" s="4"/>
      <c r="L295" s="4"/>
      <c r="M295" s="4"/>
      <c r="N295" s="9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68"/>
      <c r="F296" s="4"/>
      <c r="G296" s="4"/>
      <c r="H296" s="4"/>
      <c r="I296" s="4"/>
      <c r="J296" s="4"/>
      <c r="K296" s="4"/>
      <c r="L296" s="4"/>
      <c r="M296" s="4"/>
      <c r="N296" s="9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68"/>
      <c r="F297" s="4"/>
      <c r="G297" s="4"/>
      <c r="H297" s="4"/>
      <c r="I297" s="4"/>
      <c r="J297" s="4"/>
      <c r="K297" s="4"/>
      <c r="L297" s="4"/>
      <c r="M297" s="4"/>
      <c r="N297" s="9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68"/>
      <c r="F298" s="4"/>
      <c r="G298" s="4"/>
      <c r="H298" s="4"/>
      <c r="I298" s="4"/>
      <c r="J298" s="4"/>
      <c r="K298" s="4"/>
      <c r="L298" s="4"/>
      <c r="M298" s="4"/>
      <c r="N298" s="9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68"/>
      <c r="F299" s="4"/>
      <c r="G299" s="4"/>
      <c r="H299" s="4"/>
      <c r="I299" s="4"/>
      <c r="J299" s="4"/>
      <c r="K299" s="4"/>
      <c r="L299" s="4"/>
      <c r="M299" s="4"/>
      <c r="N299" s="9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68"/>
      <c r="F300" s="4"/>
      <c r="G300" s="4"/>
      <c r="H300" s="4"/>
      <c r="I300" s="4"/>
      <c r="J300" s="4"/>
      <c r="K300" s="4"/>
      <c r="L300" s="4"/>
      <c r="M300" s="4"/>
      <c r="N300" s="9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68"/>
      <c r="F301" s="4"/>
      <c r="G301" s="4"/>
      <c r="H301" s="4"/>
      <c r="I301" s="4"/>
      <c r="J301" s="4"/>
      <c r="K301" s="4"/>
      <c r="L301" s="4"/>
      <c r="M301" s="4"/>
      <c r="N301" s="9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68"/>
      <c r="F302" s="4"/>
      <c r="G302" s="4"/>
      <c r="H302" s="4"/>
      <c r="I302" s="4"/>
      <c r="J302" s="4"/>
      <c r="K302" s="4"/>
      <c r="L302" s="4"/>
      <c r="M302" s="4"/>
      <c r="N302" s="9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68"/>
      <c r="F303" s="4"/>
      <c r="G303" s="4"/>
      <c r="H303" s="4"/>
      <c r="I303" s="4"/>
      <c r="J303" s="4"/>
      <c r="K303" s="4"/>
      <c r="L303" s="4"/>
      <c r="M303" s="4"/>
      <c r="N303" s="9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68"/>
      <c r="F304" s="4"/>
      <c r="G304" s="4"/>
      <c r="H304" s="4"/>
      <c r="I304" s="4"/>
      <c r="J304" s="4"/>
      <c r="K304" s="4"/>
      <c r="L304" s="4"/>
      <c r="M304" s="4"/>
      <c r="N304" s="9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68"/>
      <c r="F305" s="4"/>
      <c r="G305" s="4"/>
      <c r="H305" s="4"/>
      <c r="I305" s="4"/>
      <c r="J305" s="4"/>
      <c r="K305" s="4"/>
      <c r="L305" s="4"/>
      <c r="M305" s="4"/>
      <c r="N305" s="9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68"/>
      <c r="F306" s="4"/>
      <c r="G306" s="4"/>
      <c r="H306" s="4"/>
      <c r="I306" s="4"/>
      <c r="J306" s="4"/>
      <c r="K306" s="4"/>
      <c r="L306" s="4"/>
      <c r="M306" s="4"/>
      <c r="N306" s="9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68"/>
      <c r="F307" s="4"/>
      <c r="G307" s="4"/>
      <c r="H307" s="4"/>
      <c r="I307" s="4"/>
      <c r="J307" s="4"/>
      <c r="K307" s="4"/>
      <c r="L307" s="4"/>
      <c r="M307" s="4"/>
      <c r="N307" s="9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68"/>
      <c r="F308" s="4"/>
      <c r="G308" s="4"/>
      <c r="H308" s="4"/>
      <c r="I308" s="4"/>
      <c r="J308" s="4"/>
      <c r="K308" s="4"/>
      <c r="L308" s="4"/>
      <c r="M308" s="4"/>
      <c r="N308" s="9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68"/>
      <c r="F309" s="4"/>
      <c r="G309" s="4"/>
      <c r="H309" s="4"/>
      <c r="I309" s="4"/>
      <c r="J309" s="4"/>
      <c r="K309" s="4"/>
      <c r="L309" s="4"/>
      <c r="M309" s="4"/>
      <c r="N309" s="9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68"/>
      <c r="F310" s="4"/>
      <c r="G310" s="4"/>
      <c r="H310" s="4"/>
      <c r="I310" s="4"/>
      <c r="J310" s="4"/>
      <c r="K310" s="4"/>
      <c r="L310" s="4"/>
      <c r="M310" s="4"/>
      <c r="N310" s="9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68"/>
      <c r="F311" s="4"/>
      <c r="G311" s="4"/>
      <c r="H311" s="4"/>
      <c r="I311" s="4"/>
      <c r="J311" s="4"/>
      <c r="K311" s="4"/>
      <c r="L311" s="4"/>
      <c r="M311" s="4"/>
      <c r="N311" s="9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68"/>
      <c r="F312" s="4"/>
      <c r="G312" s="4"/>
      <c r="H312" s="4"/>
      <c r="I312" s="4"/>
      <c r="J312" s="4"/>
      <c r="K312" s="4"/>
      <c r="L312" s="4"/>
      <c r="M312" s="4"/>
      <c r="N312" s="9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68"/>
      <c r="F313" s="4"/>
      <c r="G313" s="4"/>
      <c r="H313" s="4"/>
      <c r="I313" s="4"/>
      <c r="J313" s="4"/>
      <c r="K313" s="4"/>
      <c r="L313" s="4"/>
      <c r="M313" s="4"/>
      <c r="N313" s="9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68"/>
      <c r="F314" s="4"/>
      <c r="G314" s="4"/>
      <c r="H314" s="4"/>
      <c r="I314" s="4"/>
      <c r="J314" s="4"/>
      <c r="K314" s="4"/>
      <c r="L314" s="4"/>
      <c r="M314" s="4"/>
      <c r="N314" s="9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68"/>
      <c r="F315" s="4"/>
      <c r="G315" s="4"/>
      <c r="H315" s="4"/>
      <c r="I315" s="4"/>
      <c r="J315" s="4"/>
      <c r="K315" s="4"/>
      <c r="L315" s="4"/>
      <c r="M315" s="4"/>
      <c r="N315" s="9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68"/>
      <c r="F316" s="4"/>
      <c r="G316" s="4"/>
      <c r="H316" s="4"/>
      <c r="I316" s="4"/>
      <c r="J316" s="4"/>
      <c r="K316" s="4"/>
      <c r="L316" s="4"/>
      <c r="M316" s="4"/>
      <c r="N316" s="9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68"/>
      <c r="F317" s="4"/>
      <c r="G317" s="4"/>
      <c r="H317" s="4"/>
      <c r="I317" s="4"/>
      <c r="J317" s="4"/>
      <c r="K317" s="4"/>
      <c r="L317" s="4"/>
      <c r="M317" s="4"/>
      <c r="N317" s="9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68"/>
      <c r="F318" s="4"/>
      <c r="G318" s="4"/>
      <c r="H318" s="4"/>
      <c r="I318" s="4"/>
      <c r="J318" s="4"/>
      <c r="K318" s="4"/>
      <c r="L318" s="4"/>
      <c r="M318" s="4"/>
      <c r="N318" s="9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68"/>
      <c r="F319" s="4"/>
      <c r="G319" s="4"/>
      <c r="H319" s="4"/>
      <c r="I319" s="4"/>
      <c r="J319" s="4"/>
      <c r="K319" s="4"/>
      <c r="L319" s="4"/>
      <c r="M319" s="4"/>
      <c r="N319" s="9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68"/>
      <c r="F320" s="4"/>
      <c r="G320" s="4"/>
      <c r="H320" s="4"/>
      <c r="I320" s="4"/>
      <c r="J320" s="4"/>
      <c r="K320" s="4"/>
      <c r="L320" s="4"/>
      <c r="M320" s="4"/>
      <c r="N320" s="9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68"/>
      <c r="F321" s="4"/>
      <c r="G321" s="4"/>
      <c r="H321" s="4"/>
      <c r="I321" s="4"/>
      <c r="J321" s="4"/>
      <c r="K321" s="4"/>
      <c r="L321" s="4"/>
      <c r="M321" s="4"/>
      <c r="N321" s="9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68"/>
      <c r="F322" s="4"/>
      <c r="G322" s="4"/>
      <c r="H322" s="4"/>
      <c r="I322" s="4"/>
      <c r="J322" s="4"/>
      <c r="K322" s="4"/>
      <c r="L322" s="4"/>
      <c r="M322" s="4"/>
      <c r="N322" s="9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68"/>
      <c r="F323" s="4"/>
      <c r="G323" s="4"/>
      <c r="H323" s="4"/>
      <c r="I323" s="4"/>
      <c r="J323" s="4"/>
      <c r="K323" s="4"/>
      <c r="L323" s="4"/>
      <c r="M323" s="4"/>
      <c r="N323" s="9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68"/>
      <c r="F324" s="4"/>
      <c r="G324" s="4"/>
      <c r="H324" s="4"/>
      <c r="I324" s="4"/>
      <c r="J324" s="4"/>
      <c r="K324" s="4"/>
      <c r="L324" s="4"/>
      <c r="M324" s="4"/>
      <c r="N324" s="9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68"/>
      <c r="F325" s="4"/>
      <c r="G325" s="4"/>
      <c r="H325" s="4"/>
      <c r="I325" s="4"/>
      <c r="J325" s="4"/>
      <c r="K325" s="4"/>
      <c r="L325" s="4"/>
      <c r="M325" s="4"/>
      <c r="N325" s="9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68"/>
      <c r="F326" s="4"/>
      <c r="G326" s="4"/>
      <c r="H326" s="4"/>
      <c r="I326" s="4"/>
      <c r="J326" s="4"/>
      <c r="K326" s="4"/>
      <c r="L326" s="4"/>
      <c r="M326" s="4"/>
      <c r="N326" s="9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68"/>
      <c r="F327" s="4"/>
      <c r="G327" s="4"/>
      <c r="H327" s="4"/>
      <c r="I327" s="4"/>
      <c r="J327" s="4"/>
      <c r="K327" s="4"/>
      <c r="L327" s="4"/>
      <c r="M327" s="4"/>
      <c r="N327" s="9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68"/>
      <c r="F328" s="4"/>
      <c r="G328" s="4"/>
      <c r="H328" s="4"/>
      <c r="I328" s="4"/>
      <c r="J328" s="4"/>
      <c r="K328" s="4"/>
      <c r="L328" s="4"/>
      <c r="M328" s="4"/>
      <c r="N328" s="9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68"/>
      <c r="F329" s="4"/>
      <c r="G329" s="4"/>
      <c r="H329" s="4"/>
      <c r="I329" s="4"/>
      <c r="J329" s="4"/>
      <c r="K329" s="4"/>
      <c r="L329" s="4"/>
      <c r="M329" s="4"/>
      <c r="N329" s="9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68"/>
      <c r="F330" s="4"/>
      <c r="G330" s="4"/>
      <c r="H330" s="4"/>
      <c r="I330" s="4"/>
      <c r="J330" s="4"/>
      <c r="K330" s="4"/>
      <c r="L330" s="4"/>
      <c r="M330" s="4"/>
      <c r="N330" s="9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68"/>
      <c r="F331" s="4"/>
      <c r="G331" s="4"/>
      <c r="H331" s="4"/>
      <c r="I331" s="4"/>
      <c r="J331" s="4"/>
      <c r="K331" s="4"/>
      <c r="L331" s="4"/>
      <c r="M331" s="4"/>
      <c r="N331" s="9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68"/>
      <c r="F332" s="4"/>
      <c r="G332" s="4"/>
      <c r="H332" s="4"/>
      <c r="I332" s="4"/>
      <c r="J332" s="4"/>
      <c r="K332" s="4"/>
      <c r="L332" s="4"/>
      <c r="M332" s="4"/>
      <c r="N332" s="9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68"/>
      <c r="F333" s="4"/>
      <c r="G333" s="4"/>
      <c r="H333" s="4"/>
      <c r="I333" s="4"/>
      <c r="J333" s="4"/>
      <c r="K333" s="4"/>
      <c r="L333" s="4"/>
      <c r="M333" s="4"/>
      <c r="N333" s="9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68"/>
      <c r="F334" s="4"/>
      <c r="G334" s="4"/>
      <c r="H334" s="4"/>
      <c r="I334" s="4"/>
      <c r="J334" s="4"/>
      <c r="K334" s="4"/>
      <c r="L334" s="4"/>
      <c r="M334" s="4"/>
      <c r="N334" s="9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68"/>
      <c r="F335" s="4"/>
      <c r="G335" s="4"/>
      <c r="H335" s="4"/>
      <c r="I335" s="4"/>
      <c r="J335" s="4"/>
      <c r="K335" s="4"/>
      <c r="L335" s="4"/>
      <c r="M335" s="4"/>
      <c r="N335" s="9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68"/>
      <c r="F336" s="4"/>
      <c r="G336" s="4"/>
      <c r="H336" s="4"/>
      <c r="I336" s="4"/>
      <c r="J336" s="4"/>
      <c r="K336" s="4"/>
      <c r="L336" s="4"/>
      <c r="M336" s="4"/>
      <c r="N336" s="9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68"/>
      <c r="F337" s="4"/>
      <c r="G337" s="4"/>
      <c r="H337" s="4"/>
      <c r="I337" s="4"/>
      <c r="J337" s="4"/>
      <c r="K337" s="4"/>
      <c r="L337" s="4"/>
      <c r="M337" s="4"/>
      <c r="N337" s="9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68"/>
      <c r="F338" s="4"/>
      <c r="G338" s="4"/>
      <c r="H338" s="4"/>
      <c r="I338" s="4"/>
      <c r="J338" s="4"/>
      <c r="K338" s="4"/>
      <c r="L338" s="4"/>
      <c r="M338" s="4"/>
      <c r="N338" s="9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68"/>
      <c r="F339" s="4"/>
      <c r="G339" s="4"/>
      <c r="H339" s="4"/>
      <c r="I339" s="4"/>
      <c r="J339" s="4"/>
      <c r="K339" s="4"/>
      <c r="L339" s="4"/>
      <c r="M339" s="4"/>
      <c r="N339" s="9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68"/>
      <c r="F340" s="4"/>
      <c r="G340" s="4"/>
      <c r="H340" s="4"/>
      <c r="I340" s="4"/>
      <c r="J340" s="4"/>
      <c r="K340" s="4"/>
      <c r="L340" s="4"/>
      <c r="M340" s="4"/>
      <c r="N340" s="9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68"/>
      <c r="F341" s="4"/>
      <c r="G341" s="4"/>
      <c r="H341" s="4"/>
      <c r="I341" s="4"/>
      <c r="J341" s="4"/>
      <c r="K341" s="4"/>
      <c r="L341" s="4"/>
      <c r="M341" s="4"/>
      <c r="N341" s="9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68"/>
      <c r="F342" s="4"/>
      <c r="G342" s="4"/>
      <c r="H342" s="4"/>
      <c r="I342" s="4"/>
      <c r="J342" s="4"/>
      <c r="K342" s="4"/>
      <c r="L342" s="4"/>
      <c r="M342" s="4"/>
      <c r="N342" s="9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68"/>
      <c r="F343" s="4"/>
      <c r="G343" s="4"/>
      <c r="H343" s="4"/>
      <c r="I343" s="4"/>
      <c r="J343" s="4"/>
      <c r="K343" s="4"/>
      <c r="L343" s="4"/>
      <c r="M343" s="4"/>
      <c r="N343" s="9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68"/>
      <c r="F344" s="4"/>
      <c r="G344" s="4"/>
      <c r="H344" s="4"/>
      <c r="I344" s="4"/>
      <c r="J344" s="4"/>
      <c r="K344" s="4"/>
      <c r="L344" s="4"/>
      <c r="M344" s="4"/>
      <c r="N344" s="9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68"/>
      <c r="F345" s="4"/>
      <c r="G345" s="4"/>
      <c r="H345" s="4"/>
      <c r="I345" s="4"/>
      <c r="J345" s="4"/>
      <c r="K345" s="4"/>
      <c r="L345" s="4"/>
      <c r="M345" s="4"/>
      <c r="N345" s="9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68"/>
      <c r="F346" s="4"/>
      <c r="G346" s="4"/>
      <c r="H346" s="4"/>
      <c r="I346" s="4"/>
      <c r="J346" s="4"/>
      <c r="K346" s="4"/>
      <c r="L346" s="4"/>
      <c r="M346" s="4"/>
      <c r="N346" s="9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68"/>
      <c r="F347" s="4"/>
      <c r="G347" s="4"/>
      <c r="H347" s="4"/>
      <c r="I347" s="4"/>
      <c r="J347" s="4"/>
      <c r="K347" s="4"/>
      <c r="L347" s="4"/>
      <c r="M347" s="4"/>
      <c r="N347" s="9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68"/>
      <c r="F348" s="4"/>
      <c r="G348" s="4"/>
      <c r="H348" s="4"/>
      <c r="I348" s="4"/>
      <c r="J348" s="4"/>
      <c r="K348" s="4"/>
      <c r="L348" s="4"/>
      <c r="M348" s="4"/>
      <c r="N348" s="9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68"/>
      <c r="F349" s="4"/>
      <c r="G349" s="4"/>
      <c r="H349" s="4"/>
      <c r="I349" s="4"/>
      <c r="J349" s="4"/>
      <c r="K349" s="4"/>
      <c r="L349" s="4"/>
      <c r="M349" s="4"/>
      <c r="N349" s="9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68"/>
      <c r="F350" s="4"/>
      <c r="G350" s="4"/>
      <c r="H350" s="4"/>
      <c r="I350" s="4"/>
      <c r="J350" s="4"/>
      <c r="K350" s="4"/>
      <c r="L350" s="4"/>
      <c r="M350" s="4"/>
      <c r="N350" s="9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68"/>
      <c r="F351" s="4"/>
      <c r="G351" s="4"/>
      <c r="H351" s="4"/>
      <c r="I351" s="4"/>
      <c r="J351" s="4"/>
      <c r="K351" s="4"/>
      <c r="L351" s="4"/>
      <c r="M351" s="4"/>
      <c r="N351" s="9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68"/>
      <c r="F352" s="4"/>
      <c r="G352" s="4"/>
      <c r="H352" s="4"/>
      <c r="I352" s="4"/>
      <c r="J352" s="4"/>
      <c r="K352" s="4"/>
      <c r="L352" s="4"/>
      <c r="M352" s="4"/>
      <c r="N352" s="9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68"/>
      <c r="F353" s="4"/>
      <c r="G353" s="4"/>
      <c r="H353" s="4"/>
      <c r="I353" s="4"/>
      <c r="J353" s="4"/>
      <c r="K353" s="4"/>
      <c r="L353" s="4"/>
      <c r="M353" s="4"/>
      <c r="N353" s="9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68"/>
      <c r="F354" s="4"/>
      <c r="G354" s="4"/>
      <c r="H354" s="4"/>
      <c r="I354" s="4"/>
      <c r="J354" s="4"/>
      <c r="K354" s="4"/>
      <c r="L354" s="4"/>
      <c r="M354" s="4"/>
      <c r="N354" s="9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68"/>
      <c r="F355" s="4"/>
      <c r="G355" s="4"/>
      <c r="H355" s="4"/>
      <c r="I355" s="4"/>
      <c r="J355" s="4"/>
      <c r="K355" s="4"/>
      <c r="L355" s="4"/>
      <c r="M355" s="4"/>
      <c r="N355" s="9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68"/>
      <c r="F356" s="4"/>
      <c r="G356" s="4"/>
      <c r="H356" s="4"/>
      <c r="I356" s="4"/>
      <c r="J356" s="4"/>
      <c r="K356" s="4"/>
      <c r="L356" s="4"/>
      <c r="M356" s="4"/>
      <c r="N356" s="9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68"/>
      <c r="F357" s="4"/>
      <c r="G357" s="4"/>
      <c r="H357" s="4"/>
      <c r="I357" s="4"/>
      <c r="J357" s="4"/>
      <c r="K357" s="4"/>
      <c r="L357" s="4"/>
      <c r="M357" s="4"/>
      <c r="N357" s="9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68"/>
      <c r="F358" s="4"/>
      <c r="G358" s="4"/>
      <c r="H358" s="4"/>
      <c r="I358" s="4"/>
      <c r="J358" s="4"/>
      <c r="K358" s="4"/>
      <c r="L358" s="4"/>
      <c r="M358" s="4"/>
      <c r="N358" s="9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68"/>
      <c r="F359" s="4"/>
      <c r="G359" s="4"/>
      <c r="H359" s="4"/>
      <c r="I359" s="4"/>
      <c r="J359" s="4"/>
      <c r="K359" s="4"/>
      <c r="L359" s="4"/>
      <c r="M359" s="4"/>
      <c r="N359" s="9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68"/>
      <c r="F360" s="4"/>
      <c r="G360" s="4"/>
      <c r="H360" s="4"/>
      <c r="I360" s="4"/>
      <c r="J360" s="4"/>
      <c r="K360" s="4"/>
      <c r="L360" s="4"/>
      <c r="M360" s="4"/>
      <c r="N360" s="9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68"/>
      <c r="F361" s="4"/>
      <c r="G361" s="4"/>
      <c r="H361" s="4"/>
      <c r="I361" s="4"/>
      <c r="J361" s="4"/>
      <c r="K361" s="4"/>
      <c r="L361" s="4"/>
      <c r="M361" s="4"/>
      <c r="N361" s="9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68"/>
      <c r="F362" s="4"/>
      <c r="G362" s="4"/>
      <c r="H362" s="4"/>
      <c r="I362" s="4"/>
      <c r="J362" s="4"/>
      <c r="K362" s="4"/>
      <c r="L362" s="4"/>
      <c r="M362" s="4"/>
      <c r="N362" s="9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68"/>
      <c r="F363" s="4"/>
      <c r="G363" s="4"/>
      <c r="H363" s="4"/>
      <c r="I363" s="4"/>
      <c r="J363" s="4"/>
      <c r="K363" s="4"/>
      <c r="L363" s="4"/>
      <c r="M363" s="4"/>
      <c r="N363" s="9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68"/>
      <c r="F364" s="4"/>
      <c r="G364" s="4"/>
      <c r="H364" s="4"/>
      <c r="I364" s="4"/>
      <c r="J364" s="4"/>
      <c r="K364" s="4"/>
      <c r="L364" s="4"/>
      <c r="M364" s="4"/>
      <c r="N364" s="9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68"/>
      <c r="F365" s="4"/>
      <c r="G365" s="4"/>
      <c r="H365" s="4"/>
      <c r="I365" s="4"/>
      <c r="J365" s="4"/>
      <c r="K365" s="4"/>
      <c r="L365" s="4"/>
      <c r="M365" s="4"/>
      <c r="N365" s="9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68"/>
      <c r="F366" s="4"/>
      <c r="G366" s="4"/>
      <c r="H366" s="4"/>
      <c r="I366" s="4"/>
      <c r="J366" s="4"/>
      <c r="K366" s="4"/>
      <c r="L366" s="4"/>
      <c r="M366" s="4"/>
      <c r="N366" s="9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68"/>
      <c r="F367" s="4"/>
      <c r="G367" s="4"/>
      <c r="H367" s="4"/>
      <c r="I367" s="4"/>
      <c r="J367" s="4"/>
      <c r="K367" s="4"/>
      <c r="L367" s="4"/>
      <c r="M367" s="4"/>
      <c r="N367" s="9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68"/>
      <c r="F368" s="4"/>
      <c r="G368" s="4"/>
      <c r="H368" s="4"/>
      <c r="I368" s="4"/>
      <c r="J368" s="4"/>
      <c r="K368" s="4"/>
      <c r="L368" s="4"/>
      <c r="M368" s="4"/>
      <c r="N368" s="9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68"/>
      <c r="F369" s="4"/>
      <c r="G369" s="4"/>
      <c r="H369" s="4"/>
      <c r="I369" s="4"/>
      <c r="J369" s="4"/>
      <c r="K369" s="4"/>
      <c r="L369" s="4"/>
      <c r="M369" s="4"/>
      <c r="N369" s="9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68"/>
      <c r="F370" s="4"/>
      <c r="G370" s="4"/>
      <c r="H370" s="4"/>
      <c r="I370" s="4"/>
      <c r="J370" s="4"/>
      <c r="K370" s="4"/>
      <c r="L370" s="4"/>
      <c r="M370" s="4"/>
      <c r="N370" s="9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68"/>
      <c r="F371" s="4"/>
      <c r="G371" s="4"/>
      <c r="H371" s="4"/>
      <c r="I371" s="4"/>
      <c r="J371" s="4"/>
      <c r="K371" s="4"/>
      <c r="L371" s="4"/>
      <c r="M371" s="4"/>
      <c r="N371" s="9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68"/>
      <c r="F372" s="4"/>
      <c r="G372" s="4"/>
      <c r="H372" s="4"/>
      <c r="I372" s="4"/>
      <c r="J372" s="4"/>
      <c r="K372" s="4"/>
      <c r="L372" s="4"/>
      <c r="M372" s="4"/>
      <c r="N372" s="9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68"/>
      <c r="F373" s="4"/>
      <c r="G373" s="4"/>
      <c r="H373" s="4"/>
      <c r="I373" s="4"/>
      <c r="J373" s="4"/>
      <c r="K373" s="4"/>
      <c r="L373" s="4"/>
      <c r="M373" s="4"/>
      <c r="N373" s="9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68"/>
      <c r="F374" s="4"/>
      <c r="G374" s="4"/>
      <c r="H374" s="4"/>
      <c r="I374" s="4"/>
      <c r="J374" s="4"/>
      <c r="K374" s="4"/>
      <c r="L374" s="4"/>
      <c r="M374" s="4"/>
      <c r="N374" s="9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68"/>
      <c r="F375" s="4"/>
      <c r="G375" s="4"/>
      <c r="H375" s="4"/>
      <c r="I375" s="4"/>
      <c r="J375" s="4"/>
      <c r="K375" s="4"/>
      <c r="L375" s="4"/>
      <c r="M375" s="4"/>
      <c r="N375" s="9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68"/>
      <c r="F376" s="4"/>
      <c r="G376" s="4"/>
      <c r="H376" s="4"/>
      <c r="I376" s="4"/>
      <c r="J376" s="4"/>
      <c r="K376" s="4"/>
      <c r="L376" s="4"/>
      <c r="M376" s="4"/>
      <c r="N376" s="9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68"/>
      <c r="F377" s="4"/>
      <c r="G377" s="4"/>
      <c r="H377" s="4"/>
      <c r="I377" s="4"/>
      <c r="J377" s="4"/>
      <c r="K377" s="4"/>
      <c r="L377" s="4"/>
      <c r="M377" s="4"/>
      <c r="N377" s="9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68"/>
      <c r="F378" s="4"/>
      <c r="G378" s="4"/>
      <c r="H378" s="4"/>
      <c r="I378" s="4"/>
      <c r="J378" s="4"/>
      <c r="K378" s="4"/>
      <c r="L378" s="4"/>
      <c r="M378" s="4"/>
      <c r="N378" s="9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68"/>
      <c r="F379" s="4"/>
      <c r="G379" s="4"/>
      <c r="H379" s="4"/>
      <c r="I379" s="4"/>
      <c r="J379" s="4"/>
      <c r="K379" s="4"/>
      <c r="L379" s="4"/>
      <c r="M379" s="4"/>
      <c r="N379" s="9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68"/>
      <c r="F380" s="4"/>
      <c r="G380" s="4"/>
      <c r="H380" s="4"/>
      <c r="I380" s="4"/>
      <c r="J380" s="4"/>
      <c r="K380" s="4"/>
      <c r="L380" s="4"/>
      <c r="M380" s="4"/>
      <c r="N380" s="9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68"/>
      <c r="F381" s="4"/>
      <c r="G381" s="4"/>
      <c r="H381" s="4"/>
      <c r="I381" s="4"/>
      <c r="J381" s="4"/>
      <c r="K381" s="4"/>
      <c r="L381" s="4"/>
      <c r="M381" s="4"/>
      <c r="N381" s="9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68"/>
      <c r="F382" s="4"/>
      <c r="G382" s="4"/>
      <c r="H382" s="4"/>
      <c r="I382" s="4"/>
      <c r="J382" s="4"/>
      <c r="K382" s="4"/>
      <c r="L382" s="4"/>
      <c r="M382" s="4"/>
      <c r="N382" s="9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68"/>
      <c r="F383" s="4"/>
      <c r="G383" s="4"/>
      <c r="H383" s="4"/>
      <c r="I383" s="4"/>
      <c r="J383" s="4"/>
      <c r="K383" s="4"/>
      <c r="L383" s="4"/>
      <c r="M383" s="4"/>
      <c r="N383" s="9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68"/>
      <c r="F384" s="4"/>
      <c r="G384" s="4"/>
      <c r="H384" s="4"/>
      <c r="I384" s="4"/>
      <c r="J384" s="4"/>
      <c r="K384" s="4"/>
      <c r="L384" s="4"/>
      <c r="M384" s="4"/>
      <c r="N384" s="9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68"/>
      <c r="F385" s="4"/>
      <c r="G385" s="4"/>
      <c r="H385" s="4"/>
      <c r="I385" s="4"/>
      <c r="J385" s="4"/>
      <c r="K385" s="4"/>
      <c r="L385" s="4"/>
      <c r="M385" s="4"/>
      <c r="N385" s="9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68"/>
      <c r="F386" s="4"/>
      <c r="G386" s="4"/>
      <c r="H386" s="4"/>
      <c r="I386" s="4"/>
      <c r="J386" s="4"/>
      <c r="K386" s="4"/>
      <c r="L386" s="4"/>
      <c r="M386" s="4"/>
      <c r="N386" s="9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68"/>
      <c r="F387" s="4"/>
      <c r="G387" s="4"/>
      <c r="H387" s="4"/>
      <c r="I387" s="4"/>
      <c r="J387" s="4"/>
      <c r="K387" s="4"/>
      <c r="L387" s="4"/>
      <c r="M387" s="4"/>
      <c r="N387" s="9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68"/>
      <c r="F388" s="4"/>
      <c r="G388" s="4"/>
      <c r="H388" s="4"/>
      <c r="I388" s="4"/>
      <c r="J388" s="4"/>
      <c r="K388" s="4"/>
      <c r="L388" s="4"/>
      <c r="M388" s="4"/>
      <c r="N388" s="9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68"/>
      <c r="F389" s="4"/>
      <c r="G389" s="4"/>
      <c r="H389" s="4"/>
      <c r="I389" s="4"/>
      <c r="J389" s="4"/>
      <c r="K389" s="4"/>
      <c r="L389" s="4"/>
      <c r="M389" s="4"/>
      <c r="N389" s="9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68"/>
      <c r="F390" s="4"/>
      <c r="G390" s="4"/>
      <c r="H390" s="4"/>
      <c r="I390" s="4"/>
      <c r="J390" s="4"/>
      <c r="K390" s="4"/>
      <c r="L390" s="4"/>
      <c r="M390" s="4"/>
      <c r="N390" s="9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68"/>
      <c r="F391" s="4"/>
      <c r="G391" s="4"/>
      <c r="H391" s="4"/>
      <c r="I391" s="4"/>
      <c r="J391" s="4"/>
      <c r="K391" s="4"/>
      <c r="L391" s="4"/>
      <c r="M391" s="4"/>
      <c r="N391" s="9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68"/>
      <c r="F392" s="4"/>
      <c r="G392" s="4"/>
      <c r="H392" s="4"/>
      <c r="I392" s="4"/>
      <c r="J392" s="4"/>
      <c r="K392" s="4"/>
      <c r="L392" s="4"/>
      <c r="M392" s="4"/>
      <c r="N392" s="9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68"/>
      <c r="F393" s="4"/>
      <c r="G393" s="4"/>
      <c r="H393" s="4"/>
      <c r="I393" s="4"/>
      <c r="J393" s="4"/>
      <c r="K393" s="4"/>
      <c r="L393" s="4"/>
      <c r="M393" s="4"/>
      <c r="N393" s="9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68"/>
      <c r="F394" s="4"/>
      <c r="G394" s="4"/>
      <c r="H394" s="4"/>
      <c r="I394" s="4"/>
      <c r="J394" s="4"/>
      <c r="K394" s="4"/>
      <c r="L394" s="4"/>
      <c r="M394" s="4"/>
      <c r="N394" s="9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68"/>
      <c r="F395" s="4"/>
      <c r="G395" s="4"/>
      <c r="H395" s="4"/>
      <c r="I395" s="4"/>
      <c r="J395" s="4"/>
      <c r="K395" s="4"/>
      <c r="L395" s="4"/>
      <c r="M395" s="4"/>
      <c r="N395" s="9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68"/>
      <c r="F396" s="4"/>
      <c r="G396" s="4"/>
      <c r="H396" s="4"/>
      <c r="I396" s="4"/>
      <c r="J396" s="4"/>
      <c r="K396" s="4"/>
      <c r="L396" s="4"/>
      <c r="M396" s="4"/>
      <c r="N396" s="9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68"/>
      <c r="F397" s="4"/>
      <c r="G397" s="4"/>
      <c r="H397" s="4"/>
      <c r="I397" s="4"/>
      <c r="J397" s="4"/>
      <c r="K397" s="4"/>
      <c r="L397" s="4"/>
      <c r="M397" s="4"/>
      <c r="N397" s="9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68"/>
      <c r="F398" s="4"/>
      <c r="G398" s="4"/>
      <c r="H398" s="4"/>
      <c r="I398" s="4"/>
      <c r="J398" s="4"/>
      <c r="K398" s="4"/>
      <c r="L398" s="4"/>
      <c r="M398" s="4"/>
      <c r="N398" s="9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68"/>
      <c r="F399" s="4"/>
      <c r="G399" s="4"/>
      <c r="H399" s="4"/>
      <c r="I399" s="4"/>
      <c r="J399" s="4"/>
      <c r="K399" s="4"/>
      <c r="L399" s="4"/>
      <c r="M399" s="4"/>
      <c r="N399" s="9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68"/>
      <c r="F400" s="4"/>
      <c r="G400" s="4"/>
      <c r="H400" s="4"/>
      <c r="I400" s="4"/>
      <c r="J400" s="4"/>
      <c r="K400" s="4"/>
      <c r="L400" s="4"/>
      <c r="M400" s="4"/>
      <c r="N400" s="9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68"/>
      <c r="F401" s="4"/>
      <c r="G401" s="4"/>
      <c r="H401" s="4"/>
      <c r="I401" s="4"/>
      <c r="J401" s="4"/>
      <c r="K401" s="4"/>
      <c r="L401" s="4"/>
      <c r="M401" s="4"/>
      <c r="N401" s="9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68"/>
      <c r="F402" s="4"/>
      <c r="G402" s="4"/>
      <c r="H402" s="4"/>
      <c r="I402" s="4"/>
      <c r="J402" s="4"/>
      <c r="K402" s="4"/>
      <c r="L402" s="4"/>
      <c r="M402" s="4"/>
      <c r="N402" s="9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68"/>
      <c r="F403" s="4"/>
      <c r="G403" s="4"/>
      <c r="H403" s="4"/>
      <c r="I403" s="4"/>
      <c r="J403" s="4"/>
      <c r="K403" s="4"/>
      <c r="L403" s="4"/>
      <c r="M403" s="4"/>
      <c r="N403" s="9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68"/>
      <c r="F404" s="4"/>
      <c r="G404" s="4"/>
      <c r="H404" s="4"/>
      <c r="I404" s="4"/>
      <c r="J404" s="4"/>
      <c r="K404" s="4"/>
      <c r="L404" s="4"/>
      <c r="M404" s="4"/>
      <c r="N404" s="9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68"/>
      <c r="F405" s="4"/>
      <c r="G405" s="4"/>
      <c r="H405" s="4"/>
      <c r="I405" s="4"/>
      <c r="J405" s="4"/>
      <c r="K405" s="4"/>
      <c r="L405" s="4"/>
      <c r="M405" s="4"/>
      <c r="N405" s="9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68"/>
      <c r="F406" s="4"/>
      <c r="G406" s="4"/>
      <c r="H406" s="4"/>
      <c r="I406" s="4"/>
      <c r="J406" s="4"/>
      <c r="K406" s="4"/>
      <c r="L406" s="4"/>
      <c r="M406" s="4"/>
      <c r="N406" s="9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68"/>
      <c r="F407" s="4"/>
      <c r="G407" s="4"/>
      <c r="H407" s="4"/>
      <c r="I407" s="4"/>
      <c r="J407" s="4"/>
      <c r="K407" s="4"/>
      <c r="L407" s="4"/>
      <c r="M407" s="4"/>
      <c r="N407" s="9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68"/>
      <c r="F408" s="4"/>
      <c r="G408" s="4"/>
      <c r="H408" s="4"/>
      <c r="I408" s="4"/>
      <c r="J408" s="4"/>
      <c r="K408" s="4"/>
      <c r="L408" s="4"/>
      <c r="M408" s="4"/>
      <c r="N408" s="9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68"/>
      <c r="F409" s="4"/>
      <c r="G409" s="4"/>
      <c r="H409" s="4"/>
      <c r="I409" s="4"/>
      <c r="J409" s="4"/>
      <c r="K409" s="4"/>
      <c r="L409" s="4"/>
      <c r="M409" s="4"/>
      <c r="N409" s="9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68"/>
      <c r="F410" s="4"/>
      <c r="G410" s="4"/>
      <c r="H410" s="4"/>
      <c r="I410" s="4"/>
      <c r="J410" s="4"/>
      <c r="K410" s="4"/>
      <c r="L410" s="4"/>
      <c r="M410" s="4"/>
      <c r="N410" s="9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68"/>
      <c r="F411" s="4"/>
      <c r="G411" s="4"/>
      <c r="H411" s="4"/>
      <c r="I411" s="4"/>
      <c r="J411" s="4"/>
      <c r="K411" s="4"/>
      <c r="L411" s="4"/>
      <c r="M411" s="4"/>
      <c r="N411" s="9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68"/>
      <c r="F412" s="4"/>
      <c r="G412" s="4"/>
      <c r="H412" s="4"/>
      <c r="I412" s="4"/>
      <c r="J412" s="4"/>
      <c r="K412" s="4"/>
      <c r="L412" s="4"/>
      <c r="M412" s="4"/>
      <c r="N412" s="9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68"/>
      <c r="F413" s="4"/>
      <c r="G413" s="4"/>
      <c r="H413" s="4"/>
      <c r="I413" s="4"/>
      <c r="J413" s="4"/>
      <c r="K413" s="4"/>
      <c r="L413" s="4"/>
      <c r="M413" s="4"/>
      <c r="N413" s="9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68"/>
      <c r="F414" s="4"/>
      <c r="G414" s="4"/>
      <c r="H414" s="4"/>
      <c r="I414" s="4"/>
      <c r="J414" s="4"/>
      <c r="K414" s="4"/>
      <c r="L414" s="4"/>
      <c r="M414" s="4"/>
      <c r="N414" s="9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68"/>
      <c r="F415" s="4"/>
      <c r="G415" s="4"/>
      <c r="H415" s="4"/>
      <c r="I415" s="4"/>
      <c r="J415" s="4"/>
      <c r="K415" s="4"/>
      <c r="L415" s="4"/>
      <c r="M415" s="4"/>
      <c r="N415" s="9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68"/>
      <c r="F416" s="4"/>
      <c r="G416" s="4"/>
      <c r="H416" s="4"/>
      <c r="I416" s="4"/>
      <c r="J416" s="4"/>
      <c r="K416" s="4"/>
      <c r="L416" s="4"/>
      <c r="M416" s="4"/>
      <c r="N416" s="9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68"/>
      <c r="F417" s="4"/>
      <c r="G417" s="4"/>
      <c r="H417" s="4"/>
      <c r="I417" s="4"/>
      <c r="J417" s="4"/>
      <c r="K417" s="4"/>
      <c r="L417" s="4"/>
      <c r="M417" s="4"/>
      <c r="N417" s="9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68"/>
      <c r="F418" s="4"/>
      <c r="G418" s="4"/>
      <c r="H418" s="4"/>
      <c r="I418" s="4"/>
      <c r="J418" s="4"/>
      <c r="K418" s="4"/>
      <c r="L418" s="4"/>
      <c r="M418" s="4"/>
      <c r="N418" s="9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68"/>
      <c r="F419" s="4"/>
      <c r="G419" s="4"/>
      <c r="H419" s="4"/>
      <c r="I419" s="4"/>
      <c r="J419" s="4"/>
      <c r="K419" s="4"/>
      <c r="L419" s="4"/>
      <c r="M419" s="4"/>
      <c r="N419" s="9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68"/>
      <c r="F420" s="4"/>
      <c r="G420" s="4"/>
      <c r="H420" s="4"/>
      <c r="I420" s="4"/>
      <c r="J420" s="4"/>
      <c r="K420" s="4"/>
      <c r="L420" s="4"/>
      <c r="M420" s="4"/>
      <c r="N420" s="9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68"/>
      <c r="F421" s="4"/>
      <c r="G421" s="4"/>
      <c r="H421" s="4"/>
      <c r="I421" s="4"/>
      <c r="J421" s="4"/>
      <c r="K421" s="4"/>
      <c r="L421" s="4"/>
      <c r="M421" s="4"/>
      <c r="N421" s="9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68"/>
      <c r="F422" s="4"/>
      <c r="G422" s="4"/>
      <c r="H422" s="4"/>
      <c r="I422" s="4"/>
      <c r="J422" s="4"/>
      <c r="K422" s="4"/>
      <c r="L422" s="4"/>
      <c r="M422" s="4"/>
      <c r="N422" s="9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68"/>
      <c r="F423" s="4"/>
      <c r="G423" s="4"/>
      <c r="H423" s="4"/>
      <c r="I423" s="4"/>
      <c r="J423" s="4"/>
      <c r="K423" s="4"/>
      <c r="L423" s="4"/>
      <c r="M423" s="4"/>
      <c r="N423" s="9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68"/>
      <c r="F424" s="4"/>
      <c r="G424" s="4"/>
      <c r="H424" s="4"/>
      <c r="I424" s="4"/>
      <c r="J424" s="4"/>
      <c r="K424" s="4"/>
      <c r="L424" s="4"/>
      <c r="M424" s="4"/>
      <c r="N424" s="9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68"/>
      <c r="F425" s="4"/>
      <c r="G425" s="4"/>
      <c r="H425" s="4"/>
      <c r="I425" s="4"/>
      <c r="J425" s="4"/>
      <c r="K425" s="4"/>
      <c r="L425" s="4"/>
      <c r="M425" s="4"/>
      <c r="N425" s="9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68"/>
      <c r="F426" s="4"/>
      <c r="G426" s="4"/>
      <c r="H426" s="4"/>
      <c r="I426" s="4"/>
      <c r="J426" s="4"/>
      <c r="K426" s="4"/>
      <c r="L426" s="4"/>
      <c r="M426" s="4"/>
      <c r="N426" s="9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68"/>
      <c r="F427" s="4"/>
      <c r="G427" s="4"/>
      <c r="H427" s="4"/>
      <c r="I427" s="4"/>
      <c r="J427" s="4"/>
      <c r="K427" s="4"/>
      <c r="L427" s="4"/>
      <c r="M427" s="4"/>
      <c r="N427" s="9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68"/>
      <c r="F428" s="4"/>
      <c r="G428" s="4"/>
      <c r="H428" s="4"/>
      <c r="I428" s="4"/>
      <c r="J428" s="4"/>
      <c r="K428" s="4"/>
      <c r="L428" s="4"/>
      <c r="M428" s="4"/>
      <c r="N428" s="9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68"/>
      <c r="F429" s="4"/>
      <c r="G429" s="4"/>
      <c r="H429" s="4"/>
      <c r="I429" s="4"/>
      <c r="J429" s="4"/>
      <c r="K429" s="4"/>
      <c r="L429" s="4"/>
      <c r="M429" s="4"/>
      <c r="N429" s="9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68"/>
      <c r="F430" s="4"/>
      <c r="G430" s="4"/>
      <c r="H430" s="4"/>
      <c r="I430" s="4"/>
      <c r="J430" s="4"/>
      <c r="K430" s="4"/>
      <c r="L430" s="4"/>
      <c r="M430" s="4"/>
      <c r="N430" s="9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68"/>
      <c r="F431" s="4"/>
      <c r="G431" s="4"/>
      <c r="H431" s="4"/>
      <c r="I431" s="4"/>
      <c r="J431" s="4"/>
      <c r="K431" s="4"/>
      <c r="L431" s="4"/>
      <c r="M431" s="4"/>
      <c r="N431" s="9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68"/>
      <c r="F432" s="4"/>
      <c r="G432" s="4"/>
      <c r="H432" s="4"/>
      <c r="I432" s="4"/>
      <c r="J432" s="4"/>
      <c r="K432" s="4"/>
      <c r="L432" s="4"/>
      <c r="M432" s="4"/>
      <c r="N432" s="9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68"/>
      <c r="F433" s="4"/>
      <c r="G433" s="4"/>
      <c r="H433" s="4"/>
      <c r="I433" s="4"/>
      <c r="J433" s="4"/>
      <c r="K433" s="4"/>
      <c r="L433" s="4"/>
      <c r="M433" s="4"/>
      <c r="N433" s="9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68"/>
      <c r="F434" s="4"/>
      <c r="G434" s="4"/>
      <c r="H434" s="4"/>
      <c r="I434" s="4"/>
      <c r="J434" s="4"/>
      <c r="K434" s="4"/>
      <c r="L434" s="4"/>
      <c r="M434" s="4"/>
      <c r="N434" s="9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68"/>
      <c r="F435" s="4"/>
      <c r="G435" s="4"/>
      <c r="H435" s="4"/>
      <c r="I435" s="4"/>
      <c r="J435" s="4"/>
      <c r="K435" s="4"/>
      <c r="L435" s="4"/>
      <c r="M435" s="4"/>
      <c r="N435" s="9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68"/>
      <c r="F436" s="4"/>
      <c r="G436" s="4"/>
      <c r="H436" s="4"/>
      <c r="I436" s="4"/>
      <c r="J436" s="4"/>
      <c r="K436" s="4"/>
      <c r="L436" s="4"/>
      <c r="M436" s="4"/>
      <c r="N436" s="9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68"/>
      <c r="F437" s="4"/>
      <c r="G437" s="4"/>
      <c r="H437" s="4"/>
      <c r="I437" s="4"/>
      <c r="J437" s="4"/>
      <c r="K437" s="4"/>
      <c r="L437" s="4"/>
      <c r="M437" s="4"/>
      <c r="N437" s="9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68"/>
      <c r="F438" s="4"/>
      <c r="G438" s="4"/>
      <c r="H438" s="4"/>
      <c r="I438" s="4"/>
      <c r="J438" s="4"/>
      <c r="K438" s="4"/>
      <c r="L438" s="4"/>
      <c r="M438" s="4"/>
      <c r="N438" s="9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68"/>
      <c r="F439" s="4"/>
      <c r="G439" s="4"/>
      <c r="H439" s="4"/>
      <c r="I439" s="4"/>
      <c r="J439" s="4"/>
      <c r="K439" s="4"/>
      <c r="L439" s="4"/>
      <c r="M439" s="4"/>
      <c r="N439" s="9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68"/>
      <c r="F440" s="4"/>
      <c r="G440" s="4"/>
      <c r="H440" s="4"/>
      <c r="I440" s="4"/>
      <c r="J440" s="4"/>
      <c r="K440" s="4"/>
      <c r="L440" s="4"/>
      <c r="M440" s="4"/>
      <c r="N440" s="9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68"/>
      <c r="F441" s="4"/>
      <c r="G441" s="4"/>
      <c r="H441" s="4"/>
      <c r="I441" s="4"/>
      <c r="J441" s="4"/>
      <c r="K441" s="4"/>
      <c r="L441" s="4"/>
      <c r="M441" s="4"/>
      <c r="N441" s="9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68"/>
      <c r="F442" s="4"/>
      <c r="G442" s="4"/>
      <c r="H442" s="4"/>
      <c r="I442" s="4"/>
      <c r="J442" s="4"/>
      <c r="K442" s="4"/>
      <c r="L442" s="4"/>
      <c r="M442" s="4"/>
      <c r="N442" s="9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68"/>
      <c r="F443" s="4"/>
      <c r="G443" s="4"/>
      <c r="H443" s="4"/>
      <c r="I443" s="4"/>
      <c r="J443" s="4"/>
      <c r="K443" s="4"/>
      <c r="L443" s="4"/>
      <c r="M443" s="4"/>
      <c r="N443" s="9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68"/>
      <c r="F444" s="4"/>
      <c r="G444" s="4"/>
      <c r="H444" s="4"/>
      <c r="I444" s="4"/>
      <c r="J444" s="4"/>
      <c r="K444" s="4"/>
      <c r="L444" s="4"/>
      <c r="M444" s="4"/>
      <c r="N444" s="9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68"/>
      <c r="F445" s="4"/>
      <c r="G445" s="4"/>
      <c r="H445" s="4"/>
      <c r="I445" s="4"/>
      <c r="J445" s="4"/>
      <c r="K445" s="4"/>
      <c r="L445" s="4"/>
      <c r="M445" s="4"/>
      <c r="N445" s="9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68"/>
      <c r="F446" s="4"/>
      <c r="G446" s="4"/>
      <c r="H446" s="4"/>
      <c r="I446" s="4"/>
      <c r="J446" s="4"/>
      <c r="K446" s="4"/>
      <c r="L446" s="4"/>
      <c r="M446" s="4"/>
      <c r="N446" s="9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68"/>
      <c r="F447" s="4"/>
      <c r="G447" s="4"/>
      <c r="H447" s="4"/>
      <c r="I447" s="4"/>
      <c r="J447" s="4"/>
      <c r="K447" s="4"/>
      <c r="L447" s="4"/>
      <c r="M447" s="4"/>
      <c r="N447" s="9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68"/>
      <c r="F448" s="4"/>
      <c r="G448" s="4"/>
      <c r="H448" s="4"/>
      <c r="I448" s="4"/>
      <c r="J448" s="4"/>
      <c r="K448" s="4"/>
      <c r="L448" s="4"/>
      <c r="M448" s="4"/>
      <c r="N448" s="9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68"/>
      <c r="F449" s="4"/>
      <c r="G449" s="4"/>
      <c r="H449" s="4"/>
      <c r="I449" s="4"/>
      <c r="J449" s="4"/>
      <c r="K449" s="4"/>
      <c r="L449" s="4"/>
      <c r="M449" s="4"/>
      <c r="N449" s="9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68"/>
      <c r="F450" s="4"/>
      <c r="G450" s="4"/>
      <c r="H450" s="4"/>
      <c r="I450" s="4"/>
      <c r="J450" s="4"/>
      <c r="K450" s="4"/>
      <c r="L450" s="4"/>
      <c r="M450" s="4"/>
      <c r="N450" s="9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68"/>
      <c r="F451" s="4"/>
      <c r="G451" s="4"/>
      <c r="H451" s="4"/>
      <c r="I451" s="4"/>
      <c r="J451" s="4"/>
      <c r="K451" s="4"/>
      <c r="L451" s="4"/>
      <c r="M451" s="4"/>
      <c r="N451" s="9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68"/>
      <c r="F452" s="4"/>
      <c r="G452" s="4"/>
      <c r="H452" s="4"/>
      <c r="I452" s="4"/>
      <c r="J452" s="4"/>
      <c r="K452" s="4"/>
      <c r="L452" s="4"/>
      <c r="M452" s="4"/>
      <c r="N452" s="9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68"/>
      <c r="F453" s="4"/>
      <c r="G453" s="4"/>
      <c r="H453" s="4"/>
      <c r="I453" s="4"/>
      <c r="J453" s="4"/>
      <c r="K453" s="4"/>
      <c r="L453" s="4"/>
      <c r="M453" s="4"/>
      <c r="N453" s="9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68"/>
      <c r="F454" s="4"/>
      <c r="G454" s="4"/>
      <c r="H454" s="4"/>
      <c r="I454" s="4"/>
      <c r="J454" s="4"/>
      <c r="K454" s="4"/>
      <c r="L454" s="4"/>
      <c r="M454" s="4"/>
      <c r="N454" s="9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68"/>
      <c r="F455" s="4"/>
      <c r="G455" s="4"/>
      <c r="H455" s="4"/>
      <c r="I455" s="4"/>
      <c r="J455" s="4"/>
      <c r="K455" s="4"/>
      <c r="L455" s="4"/>
      <c r="M455" s="4"/>
      <c r="N455" s="9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68"/>
      <c r="F456" s="4"/>
      <c r="G456" s="4"/>
      <c r="H456" s="4"/>
      <c r="I456" s="4"/>
      <c r="J456" s="4"/>
      <c r="K456" s="4"/>
      <c r="L456" s="4"/>
      <c r="M456" s="4"/>
      <c r="N456" s="9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68"/>
      <c r="F457" s="4"/>
      <c r="G457" s="4"/>
      <c r="H457" s="4"/>
      <c r="I457" s="4"/>
      <c r="J457" s="4"/>
      <c r="K457" s="4"/>
      <c r="L457" s="4"/>
      <c r="M457" s="4"/>
      <c r="N457" s="9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68"/>
      <c r="F458" s="4"/>
      <c r="G458" s="4"/>
      <c r="H458" s="4"/>
      <c r="I458" s="4"/>
      <c r="J458" s="4"/>
      <c r="K458" s="4"/>
      <c r="L458" s="4"/>
      <c r="M458" s="4"/>
      <c r="N458" s="9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68"/>
      <c r="F459" s="4"/>
      <c r="G459" s="4"/>
      <c r="H459" s="4"/>
      <c r="I459" s="4"/>
      <c r="J459" s="4"/>
      <c r="K459" s="4"/>
      <c r="L459" s="4"/>
      <c r="M459" s="4"/>
      <c r="N459" s="9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68"/>
      <c r="F460" s="4"/>
      <c r="G460" s="4"/>
      <c r="H460" s="4"/>
      <c r="I460" s="4"/>
      <c r="J460" s="4"/>
      <c r="K460" s="4"/>
      <c r="L460" s="4"/>
      <c r="M460" s="4"/>
      <c r="N460" s="9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68"/>
      <c r="F461" s="4"/>
      <c r="G461" s="4"/>
      <c r="H461" s="4"/>
      <c r="I461" s="4"/>
      <c r="J461" s="4"/>
      <c r="K461" s="4"/>
      <c r="L461" s="4"/>
      <c r="M461" s="4"/>
      <c r="N461" s="9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68"/>
      <c r="F462" s="4"/>
      <c r="G462" s="4"/>
      <c r="H462" s="4"/>
      <c r="I462" s="4"/>
      <c r="J462" s="4"/>
      <c r="K462" s="4"/>
      <c r="L462" s="4"/>
      <c r="M462" s="4"/>
      <c r="N462" s="9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68"/>
      <c r="F463" s="4"/>
      <c r="G463" s="4"/>
      <c r="H463" s="4"/>
      <c r="I463" s="4"/>
      <c r="J463" s="4"/>
      <c r="K463" s="4"/>
      <c r="L463" s="4"/>
      <c r="M463" s="4"/>
      <c r="N463" s="9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68"/>
      <c r="F464" s="4"/>
      <c r="G464" s="4"/>
      <c r="H464" s="4"/>
      <c r="I464" s="4"/>
      <c r="J464" s="4"/>
      <c r="K464" s="4"/>
      <c r="L464" s="4"/>
      <c r="M464" s="4"/>
      <c r="N464" s="9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68"/>
      <c r="F465" s="4"/>
      <c r="G465" s="4"/>
      <c r="H465" s="4"/>
      <c r="I465" s="4"/>
      <c r="J465" s="4"/>
      <c r="K465" s="4"/>
      <c r="L465" s="4"/>
      <c r="M465" s="4"/>
      <c r="N465" s="9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68"/>
      <c r="F466" s="4"/>
      <c r="G466" s="4"/>
      <c r="H466" s="4"/>
      <c r="I466" s="4"/>
      <c r="J466" s="4"/>
      <c r="K466" s="4"/>
      <c r="L466" s="4"/>
      <c r="M466" s="4"/>
      <c r="N466" s="9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68"/>
      <c r="F467" s="4"/>
      <c r="G467" s="4"/>
      <c r="H467" s="4"/>
      <c r="I467" s="4"/>
      <c r="J467" s="4"/>
      <c r="K467" s="4"/>
      <c r="L467" s="4"/>
      <c r="M467" s="4"/>
      <c r="N467" s="9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68"/>
      <c r="F468" s="4"/>
      <c r="G468" s="4"/>
      <c r="H468" s="4"/>
      <c r="I468" s="4"/>
      <c r="J468" s="4"/>
      <c r="K468" s="4"/>
      <c r="L468" s="4"/>
      <c r="M468" s="4"/>
      <c r="N468" s="9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68"/>
      <c r="F469" s="4"/>
      <c r="G469" s="4"/>
      <c r="H469" s="4"/>
      <c r="I469" s="4"/>
      <c r="J469" s="4"/>
      <c r="K469" s="4"/>
      <c r="L469" s="4"/>
      <c r="M469" s="4"/>
      <c r="N469" s="9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68"/>
      <c r="F470" s="4"/>
      <c r="G470" s="4"/>
      <c r="H470" s="4"/>
      <c r="I470" s="4"/>
      <c r="J470" s="4"/>
      <c r="K470" s="4"/>
      <c r="L470" s="4"/>
      <c r="M470" s="4"/>
      <c r="N470" s="9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68"/>
      <c r="F471" s="4"/>
      <c r="G471" s="4"/>
      <c r="H471" s="4"/>
      <c r="I471" s="4"/>
      <c r="J471" s="4"/>
      <c r="K471" s="4"/>
      <c r="L471" s="4"/>
      <c r="M471" s="4"/>
      <c r="N471" s="9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68"/>
      <c r="F472" s="4"/>
      <c r="G472" s="4"/>
      <c r="H472" s="4"/>
      <c r="I472" s="4"/>
      <c r="J472" s="4"/>
      <c r="K472" s="4"/>
      <c r="L472" s="4"/>
      <c r="M472" s="4"/>
      <c r="N472" s="9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68"/>
      <c r="F473" s="4"/>
      <c r="G473" s="4"/>
      <c r="H473" s="4"/>
      <c r="I473" s="4"/>
      <c r="J473" s="4"/>
      <c r="K473" s="4"/>
      <c r="L473" s="4"/>
      <c r="M473" s="4"/>
      <c r="N473" s="9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68"/>
      <c r="F474" s="4"/>
      <c r="G474" s="4"/>
      <c r="H474" s="4"/>
      <c r="I474" s="4"/>
      <c r="J474" s="4"/>
      <c r="K474" s="4"/>
      <c r="L474" s="4"/>
      <c r="M474" s="4"/>
      <c r="N474" s="9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68"/>
      <c r="F475" s="4"/>
      <c r="G475" s="4"/>
      <c r="H475" s="4"/>
      <c r="I475" s="4"/>
      <c r="J475" s="4"/>
      <c r="K475" s="4"/>
      <c r="L475" s="4"/>
      <c r="M475" s="4"/>
      <c r="N475" s="9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68"/>
      <c r="F476" s="4"/>
      <c r="G476" s="4"/>
      <c r="H476" s="4"/>
      <c r="I476" s="4"/>
      <c r="J476" s="4"/>
      <c r="K476" s="4"/>
      <c r="L476" s="4"/>
      <c r="M476" s="4"/>
      <c r="N476" s="9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68"/>
      <c r="F477" s="4"/>
      <c r="G477" s="4"/>
      <c r="H477" s="4"/>
      <c r="I477" s="4"/>
      <c r="J477" s="4"/>
      <c r="K477" s="4"/>
      <c r="L477" s="4"/>
      <c r="M477" s="4"/>
      <c r="N477" s="9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68"/>
      <c r="F478" s="4"/>
      <c r="G478" s="4"/>
      <c r="H478" s="4"/>
      <c r="I478" s="4"/>
      <c r="J478" s="4"/>
      <c r="K478" s="4"/>
      <c r="L478" s="4"/>
      <c r="M478" s="4"/>
      <c r="N478" s="9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68"/>
      <c r="F479" s="4"/>
      <c r="G479" s="4"/>
      <c r="H479" s="4"/>
      <c r="I479" s="4"/>
      <c r="J479" s="4"/>
      <c r="K479" s="4"/>
      <c r="L479" s="4"/>
      <c r="M479" s="4"/>
      <c r="N479" s="9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68"/>
      <c r="F480" s="4"/>
      <c r="G480" s="4"/>
      <c r="H480" s="4"/>
      <c r="I480" s="4"/>
      <c r="J480" s="4"/>
      <c r="K480" s="4"/>
      <c r="L480" s="4"/>
      <c r="M480" s="4"/>
      <c r="N480" s="9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68"/>
      <c r="F481" s="4"/>
      <c r="G481" s="4"/>
      <c r="H481" s="4"/>
      <c r="I481" s="4"/>
      <c r="J481" s="4"/>
      <c r="K481" s="4"/>
      <c r="L481" s="4"/>
      <c r="M481" s="4"/>
      <c r="N481" s="9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68"/>
      <c r="F482" s="4"/>
      <c r="G482" s="4"/>
      <c r="H482" s="4"/>
      <c r="I482" s="4"/>
      <c r="J482" s="4"/>
      <c r="K482" s="4"/>
      <c r="L482" s="4"/>
      <c r="M482" s="4"/>
      <c r="N482" s="9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68"/>
      <c r="F483" s="4"/>
      <c r="G483" s="4"/>
      <c r="H483" s="4"/>
      <c r="I483" s="4"/>
      <c r="J483" s="4"/>
      <c r="K483" s="4"/>
      <c r="L483" s="4"/>
      <c r="M483" s="4"/>
      <c r="N483" s="9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68"/>
      <c r="F484" s="4"/>
      <c r="G484" s="4"/>
      <c r="H484" s="4"/>
      <c r="I484" s="4"/>
      <c r="J484" s="4"/>
      <c r="K484" s="4"/>
      <c r="L484" s="4"/>
      <c r="M484" s="4"/>
      <c r="N484" s="9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68"/>
      <c r="F485" s="4"/>
      <c r="G485" s="4"/>
      <c r="H485" s="4"/>
      <c r="I485" s="4"/>
      <c r="J485" s="4"/>
      <c r="K485" s="4"/>
      <c r="L485" s="4"/>
      <c r="M485" s="4"/>
      <c r="N485" s="9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68"/>
      <c r="F486" s="4"/>
      <c r="G486" s="4"/>
      <c r="H486" s="4"/>
      <c r="I486" s="4"/>
      <c r="J486" s="4"/>
      <c r="K486" s="4"/>
      <c r="L486" s="4"/>
      <c r="M486" s="4"/>
      <c r="N486" s="9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68"/>
      <c r="F487" s="4"/>
      <c r="G487" s="4"/>
      <c r="H487" s="4"/>
      <c r="I487" s="4"/>
      <c r="J487" s="4"/>
      <c r="K487" s="4"/>
      <c r="L487" s="4"/>
      <c r="M487" s="4"/>
      <c r="N487" s="9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68"/>
      <c r="F488" s="4"/>
      <c r="G488" s="4"/>
      <c r="H488" s="4"/>
      <c r="I488" s="4"/>
      <c r="J488" s="4"/>
      <c r="K488" s="4"/>
      <c r="L488" s="4"/>
      <c r="M488" s="4"/>
      <c r="N488" s="9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68"/>
      <c r="F489" s="4"/>
      <c r="G489" s="4"/>
      <c r="H489" s="4"/>
      <c r="I489" s="4"/>
      <c r="J489" s="4"/>
      <c r="K489" s="4"/>
      <c r="L489" s="4"/>
      <c r="M489" s="4"/>
      <c r="N489" s="9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68"/>
      <c r="F490" s="4"/>
      <c r="G490" s="4"/>
      <c r="H490" s="4"/>
      <c r="I490" s="4"/>
      <c r="J490" s="4"/>
      <c r="K490" s="4"/>
      <c r="L490" s="4"/>
      <c r="M490" s="4"/>
      <c r="N490" s="9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68"/>
      <c r="F491" s="4"/>
      <c r="G491" s="4"/>
      <c r="H491" s="4"/>
      <c r="I491" s="4"/>
      <c r="J491" s="4"/>
      <c r="K491" s="4"/>
      <c r="L491" s="4"/>
      <c r="M491" s="4"/>
      <c r="N491" s="9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68"/>
      <c r="F492" s="4"/>
      <c r="G492" s="4"/>
      <c r="H492" s="4"/>
      <c r="I492" s="4"/>
      <c r="J492" s="4"/>
      <c r="K492" s="4"/>
      <c r="L492" s="4"/>
      <c r="M492" s="4"/>
      <c r="N492" s="9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68"/>
      <c r="F493" s="4"/>
      <c r="G493" s="4"/>
      <c r="H493" s="4"/>
      <c r="I493" s="4"/>
      <c r="J493" s="4"/>
      <c r="K493" s="4"/>
      <c r="L493" s="4"/>
      <c r="M493" s="4"/>
      <c r="N493" s="9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68"/>
      <c r="F494" s="4"/>
      <c r="G494" s="4"/>
      <c r="H494" s="4"/>
      <c r="I494" s="4"/>
      <c r="J494" s="4"/>
      <c r="K494" s="4"/>
      <c r="L494" s="4"/>
      <c r="M494" s="4"/>
      <c r="N494" s="9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68"/>
      <c r="F495" s="4"/>
      <c r="G495" s="4"/>
      <c r="H495" s="4"/>
      <c r="I495" s="4"/>
      <c r="J495" s="4"/>
      <c r="K495" s="4"/>
      <c r="L495" s="4"/>
      <c r="M495" s="4"/>
      <c r="N495" s="9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68"/>
      <c r="F496" s="4"/>
      <c r="G496" s="4"/>
      <c r="H496" s="4"/>
      <c r="I496" s="4"/>
      <c r="J496" s="4"/>
      <c r="K496" s="4"/>
      <c r="L496" s="4"/>
      <c r="M496" s="4"/>
      <c r="N496" s="9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68"/>
      <c r="F497" s="4"/>
      <c r="G497" s="4"/>
      <c r="H497" s="4"/>
      <c r="I497" s="4"/>
      <c r="J497" s="4"/>
      <c r="K497" s="4"/>
      <c r="L497" s="4"/>
      <c r="M497" s="4"/>
      <c r="N497" s="9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68"/>
      <c r="F498" s="4"/>
      <c r="G498" s="4"/>
      <c r="H498" s="4"/>
      <c r="I498" s="4"/>
      <c r="J498" s="4"/>
      <c r="K498" s="4"/>
      <c r="L498" s="4"/>
      <c r="M498" s="4"/>
      <c r="N498" s="9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68"/>
      <c r="F499" s="4"/>
      <c r="G499" s="4"/>
      <c r="H499" s="4"/>
      <c r="I499" s="4"/>
      <c r="J499" s="4"/>
      <c r="K499" s="4"/>
      <c r="L499" s="4"/>
      <c r="M499" s="4"/>
      <c r="N499" s="9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68"/>
      <c r="F500" s="4"/>
      <c r="G500" s="4"/>
      <c r="H500" s="4"/>
      <c r="I500" s="4"/>
      <c r="J500" s="4"/>
      <c r="K500" s="4"/>
      <c r="L500" s="4"/>
      <c r="M500" s="4"/>
      <c r="N500" s="9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68"/>
      <c r="F501" s="4"/>
      <c r="G501" s="4"/>
      <c r="H501" s="4"/>
      <c r="I501" s="4"/>
      <c r="J501" s="4"/>
      <c r="K501" s="4"/>
      <c r="L501" s="4"/>
      <c r="M501" s="4"/>
      <c r="N501" s="9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68"/>
      <c r="F502" s="4"/>
      <c r="G502" s="4"/>
      <c r="H502" s="4"/>
      <c r="I502" s="4"/>
      <c r="J502" s="4"/>
      <c r="K502" s="4"/>
      <c r="L502" s="4"/>
      <c r="M502" s="4"/>
      <c r="N502" s="9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68"/>
      <c r="F503" s="4"/>
      <c r="G503" s="4"/>
      <c r="H503" s="4"/>
      <c r="I503" s="4"/>
      <c r="J503" s="4"/>
      <c r="K503" s="4"/>
      <c r="L503" s="4"/>
      <c r="M503" s="4"/>
      <c r="N503" s="9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68"/>
      <c r="F504" s="4"/>
      <c r="G504" s="4"/>
      <c r="H504" s="4"/>
      <c r="I504" s="4"/>
      <c r="J504" s="4"/>
      <c r="K504" s="4"/>
      <c r="L504" s="4"/>
      <c r="M504" s="4"/>
      <c r="N504" s="9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68"/>
      <c r="F505" s="4"/>
      <c r="G505" s="4"/>
      <c r="H505" s="4"/>
      <c r="I505" s="4"/>
      <c r="J505" s="4"/>
      <c r="K505" s="4"/>
      <c r="L505" s="4"/>
      <c r="M505" s="4"/>
      <c r="N505" s="9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68"/>
      <c r="F506" s="4"/>
      <c r="G506" s="4"/>
      <c r="H506" s="4"/>
      <c r="I506" s="4"/>
      <c r="J506" s="4"/>
      <c r="K506" s="4"/>
      <c r="L506" s="4"/>
      <c r="M506" s="4"/>
      <c r="N506" s="9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68"/>
      <c r="F507" s="4"/>
      <c r="G507" s="4"/>
      <c r="H507" s="4"/>
      <c r="I507" s="4"/>
      <c r="J507" s="4"/>
      <c r="K507" s="4"/>
      <c r="L507" s="4"/>
      <c r="M507" s="4"/>
      <c r="N507" s="9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68"/>
      <c r="F508" s="4"/>
      <c r="G508" s="4"/>
      <c r="H508" s="4"/>
      <c r="I508" s="4"/>
      <c r="J508" s="4"/>
      <c r="K508" s="4"/>
      <c r="L508" s="4"/>
      <c r="M508" s="4"/>
      <c r="N508" s="9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68"/>
      <c r="F509" s="4"/>
      <c r="G509" s="4"/>
      <c r="H509" s="4"/>
      <c r="I509" s="4"/>
      <c r="J509" s="4"/>
      <c r="K509" s="4"/>
      <c r="L509" s="4"/>
      <c r="M509" s="4"/>
      <c r="N509" s="9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68"/>
      <c r="F510" s="4"/>
      <c r="G510" s="4"/>
      <c r="H510" s="4"/>
      <c r="I510" s="4"/>
      <c r="J510" s="4"/>
      <c r="K510" s="4"/>
      <c r="L510" s="4"/>
      <c r="M510" s="4"/>
      <c r="N510" s="9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68"/>
      <c r="F511" s="4"/>
      <c r="G511" s="4"/>
      <c r="H511" s="4"/>
      <c r="I511" s="4"/>
      <c r="J511" s="4"/>
      <c r="K511" s="4"/>
      <c r="L511" s="4"/>
      <c r="M511" s="4"/>
      <c r="N511" s="9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68"/>
      <c r="F512" s="4"/>
      <c r="G512" s="4"/>
      <c r="H512" s="4"/>
      <c r="I512" s="4"/>
      <c r="J512" s="4"/>
      <c r="K512" s="4"/>
      <c r="L512" s="4"/>
      <c r="M512" s="4"/>
      <c r="N512" s="9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68"/>
      <c r="F513" s="4"/>
      <c r="G513" s="4"/>
      <c r="H513" s="4"/>
      <c r="I513" s="4"/>
      <c r="J513" s="4"/>
      <c r="K513" s="4"/>
      <c r="L513" s="4"/>
      <c r="M513" s="4"/>
      <c r="N513" s="9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68"/>
      <c r="F514" s="4"/>
      <c r="G514" s="4"/>
      <c r="H514" s="4"/>
      <c r="I514" s="4"/>
      <c r="J514" s="4"/>
      <c r="K514" s="4"/>
      <c r="L514" s="4"/>
      <c r="M514" s="4"/>
      <c r="N514" s="9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68"/>
      <c r="F515" s="4"/>
      <c r="G515" s="4"/>
      <c r="H515" s="4"/>
      <c r="I515" s="4"/>
      <c r="J515" s="4"/>
      <c r="K515" s="4"/>
      <c r="L515" s="4"/>
      <c r="M515" s="4"/>
      <c r="N515" s="9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68"/>
      <c r="F516" s="4"/>
      <c r="G516" s="4"/>
      <c r="H516" s="4"/>
      <c r="I516" s="4"/>
      <c r="J516" s="4"/>
      <c r="K516" s="4"/>
      <c r="L516" s="4"/>
      <c r="M516" s="4"/>
      <c r="N516" s="9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68"/>
      <c r="F517" s="4"/>
      <c r="G517" s="4"/>
      <c r="H517" s="4"/>
      <c r="I517" s="4"/>
      <c r="J517" s="4"/>
      <c r="K517" s="4"/>
      <c r="L517" s="4"/>
      <c r="M517" s="4"/>
      <c r="N517" s="9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68"/>
      <c r="F518" s="4"/>
      <c r="G518" s="4"/>
      <c r="H518" s="4"/>
      <c r="I518" s="4"/>
      <c r="J518" s="4"/>
      <c r="K518" s="4"/>
      <c r="L518" s="4"/>
      <c r="M518" s="4"/>
      <c r="N518" s="9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68"/>
      <c r="F519" s="4"/>
      <c r="G519" s="4"/>
      <c r="H519" s="4"/>
      <c r="I519" s="4"/>
      <c r="J519" s="4"/>
      <c r="K519" s="4"/>
      <c r="L519" s="4"/>
      <c r="M519" s="4"/>
      <c r="N519" s="9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68"/>
      <c r="F520" s="4"/>
      <c r="G520" s="4"/>
      <c r="H520" s="4"/>
      <c r="I520" s="4"/>
      <c r="J520" s="4"/>
      <c r="K520" s="4"/>
      <c r="L520" s="4"/>
      <c r="M520" s="4"/>
      <c r="N520" s="9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68"/>
      <c r="F521" s="4"/>
      <c r="G521" s="4"/>
      <c r="H521" s="4"/>
      <c r="I521" s="4"/>
      <c r="J521" s="4"/>
      <c r="K521" s="4"/>
      <c r="L521" s="4"/>
      <c r="M521" s="4"/>
      <c r="N521" s="9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68"/>
      <c r="F522" s="4"/>
      <c r="G522" s="4"/>
      <c r="H522" s="4"/>
      <c r="I522" s="4"/>
      <c r="J522" s="4"/>
      <c r="K522" s="4"/>
      <c r="L522" s="4"/>
      <c r="M522" s="4"/>
      <c r="N522" s="9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68"/>
      <c r="F523" s="4"/>
      <c r="G523" s="4"/>
      <c r="H523" s="4"/>
      <c r="I523" s="4"/>
      <c r="J523" s="4"/>
      <c r="K523" s="4"/>
      <c r="L523" s="4"/>
      <c r="M523" s="4"/>
      <c r="N523" s="9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68"/>
      <c r="F524" s="4"/>
      <c r="G524" s="4"/>
      <c r="H524" s="4"/>
      <c r="I524" s="4"/>
      <c r="J524" s="4"/>
      <c r="K524" s="4"/>
      <c r="L524" s="4"/>
      <c r="M524" s="4"/>
      <c r="N524" s="9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68"/>
      <c r="F525" s="4"/>
      <c r="G525" s="4"/>
      <c r="H525" s="4"/>
      <c r="I525" s="4"/>
      <c r="J525" s="4"/>
      <c r="K525" s="4"/>
      <c r="L525" s="4"/>
      <c r="M525" s="4"/>
      <c r="N525" s="9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68"/>
      <c r="F526" s="4"/>
      <c r="G526" s="4"/>
      <c r="H526" s="4"/>
      <c r="I526" s="4"/>
      <c r="J526" s="4"/>
      <c r="K526" s="4"/>
      <c r="L526" s="4"/>
      <c r="M526" s="4"/>
      <c r="N526" s="9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68"/>
      <c r="F527" s="4"/>
      <c r="G527" s="4"/>
      <c r="H527" s="4"/>
      <c r="I527" s="4"/>
      <c r="J527" s="4"/>
      <c r="K527" s="4"/>
      <c r="L527" s="4"/>
      <c r="M527" s="4"/>
      <c r="N527" s="9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68"/>
      <c r="F528" s="4"/>
      <c r="G528" s="4"/>
      <c r="H528" s="4"/>
      <c r="I528" s="4"/>
      <c r="J528" s="4"/>
      <c r="K528" s="4"/>
      <c r="L528" s="4"/>
      <c r="M528" s="4"/>
      <c r="N528" s="9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68"/>
      <c r="F529" s="4"/>
      <c r="G529" s="4"/>
      <c r="H529" s="4"/>
      <c r="I529" s="4"/>
      <c r="J529" s="4"/>
      <c r="K529" s="4"/>
      <c r="L529" s="4"/>
      <c r="M529" s="4"/>
      <c r="N529" s="9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68"/>
      <c r="F530" s="4"/>
      <c r="G530" s="4"/>
      <c r="H530" s="4"/>
      <c r="I530" s="4"/>
      <c r="J530" s="4"/>
      <c r="K530" s="4"/>
      <c r="L530" s="4"/>
      <c r="M530" s="4"/>
      <c r="N530" s="9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68"/>
      <c r="F531" s="4"/>
      <c r="G531" s="4"/>
      <c r="H531" s="4"/>
      <c r="I531" s="4"/>
      <c r="J531" s="4"/>
      <c r="K531" s="4"/>
      <c r="L531" s="4"/>
      <c r="M531" s="4"/>
      <c r="N531" s="9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68"/>
      <c r="F532" s="4"/>
      <c r="G532" s="4"/>
      <c r="H532" s="4"/>
      <c r="I532" s="4"/>
      <c r="J532" s="4"/>
      <c r="K532" s="4"/>
      <c r="L532" s="4"/>
      <c r="M532" s="4"/>
      <c r="N532" s="9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68"/>
      <c r="F533" s="4"/>
      <c r="G533" s="4"/>
      <c r="H533" s="4"/>
      <c r="I533" s="4"/>
      <c r="J533" s="4"/>
      <c r="K533" s="4"/>
      <c r="L533" s="4"/>
      <c r="M533" s="4"/>
      <c r="N533" s="9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68"/>
      <c r="F534" s="4"/>
      <c r="G534" s="4"/>
      <c r="H534" s="4"/>
      <c r="I534" s="4"/>
      <c r="J534" s="4"/>
      <c r="K534" s="4"/>
      <c r="L534" s="4"/>
      <c r="M534" s="4"/>
      <c r="N534" s="9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68"/>
      <c r="F535" s="4"/>
      <c r="G535" s="4"/>
      <c r="H535" s="4"/>
      <c r="I535" s="4"/>
      <c r="J535" s="4"/>
      <c r="K535" s="4"/>
      <c r="L535" s="4"/>
      <c r="M535" s="4"/>
      <c r="N535" s="9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68"/>
      <c r="F536" s="4"/>
      <c r="G536" s="4"/>
      <c r="H536" s="4"/>
      <c r="I536" s="4"/>
      <c r="J536" s="4"/>
      <c r="K536" s="4"/>
      <c r="L536" s="4"/>
      <c r="M536" s="4"/>
      <c r="N536" s="9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68"/>
      <c r="F537" s="4"/>
      <c r="G537" s="4"/>
      <c r="H537" s="4"/>
      <c r="I537" s="4"/>
      <c r="J537" s="4"/>
      <c r="K537" s="4"/>
      <c r="L537" s="4"/>
      <c r="M537" s="4"/>
      <c r="N537" s="9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68"/>
      <c r="F538" s="4"/>
      <c r="G538" s="4"/>
      <c r="H538" s="4"/>
      <c r="I538" s="4"/>
      <c r="J538" s="4"/>
      <c r="K538" s="4"/>
      <c r="L538" s="4"/>
      <c r="M538" s="4"/>
      <c r="N538" s="9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68"/>
      <c r="F539" s="4"/>
      <c r="G539" s="4"/>
      <c r="H539" s="4"/>
      <c r="I539" s="4"/>
      <c r="J539" s="4"/>
      <c r="K539" s="4"/>
      <c r="L539" s="4"/>
      <c r="M539" s="4"/>
      <c r="N539" s="9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68"/>
      <c r="F540" s="4"/>
      <c r="G540" s="4"/>
      <c r="H540" s="4"/>
      <c r="I540" s="4"/>
      <c r="J540" s="4"/>
      <c r="K540" s="4"/>
      <c r="L540" s="4"/>
      <c r="M540" s="4"/>
      <c r="N540" s="9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68"/>
      <c r="F541" s="4"/>
      <c r="G541" s="4"/>
      <c r="H541" s="4"/>
      <c r="I541" s="4"/>
      <c r="J541" s="4"/>
      <c r="K541" s="4"/>
      <c r="L541" s="4"/>
      <c r="M541" s="4"/>
      <c r="N541" s="9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68"/>
      <c r="F542" s="4"/>
      <c r="G542" s="4"/>
      <c r="H542" s="4"/>
      <c r="I542" s="4"/>
      <c r="J542" s="4"/>
      <c r="K542" s="4"/>
      <c r="L542" s="4"/>
      <c r="M542" s="4"/>
      <c r="N542" s="9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68"/>
      <c r="F543" s="4"/>
      <c r="G543" s="4"/>
      <c r="H543" s="4"/>
      <c r="I543" s="4"/>
      <c r="J543" s="4"/>
      <c r="K543" s="4"/>
      <c r="L543" s="4"/>
      <c r="M543" s="4"/>
      <c r="N543" s="9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68"/>
      <c r="F544" s="4"/>
      <c r="G544" s="4"/>
      <c r="H544" s="4"/>
      <c r="I544" s="4"/>
      <c r="J544" s="4"/>
      <c r="K544" s="4"/>
      <c r="L544" s="4"/>
      <c r="M544" s="4"/>
      <c r="N544" s="9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68"/>
      <c r="F545" s="4"/>
      <c r="G545" s="4"/>
      <c r="H545" s="4"/>
      <c r="I545" s="4"/>
      <c r="J545" s="4"/>
      <c r="K545" s="4"/>
      <c r="L545" s="4"/>
      <c r="M545" s="4"/>
      <c r="N545" s="9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68"/>
      <c r="F546" s="4"/>
      <c r="G546" s="4"/>
      <c r="H546" s="4"/>
      <c r="I546" s="4"/>
      <c r="J546" s="4"/>
      <c r="K546" s="4"/>
      <c r="L546" s="4"/>
      <c r="M546" s="4"/>
      <c r="N546" s="9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68"/>
      <c r="F547" s="4"/>
      <c r="G547" s="4"/>
      <c r="H547" s="4"/>
      <c r="I547" s="4"/>
      <c r="J547" s="4"/>
      <c r="K547" s="4"/>
      <c r="L547" s="4"/>
      <c r="M547" s="4"/>
      <c r="N547" s="9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68"/>
      <c r="F548" s="4"/>
      <c r="G548" s="4"/>
      <c r="H548" s="4"/>
      <c r="I548" s="4"/>
      <c r="J548" s="4"/>
      <c r="K548" s="4"/>
      <c r="L548" s="4"/>
      <c r="M548" s="4"/>
      <c r="N548" s="9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68"/>
      <c r="F549" s="4"/>
      <c r="G549" s="4"/>
      <c r="H549" s="4"/>
      <c r="I549" s="4"/>
      <c r="J549" s="4"/>
      <c r="K549" s="4"/>
      <c r="L549" s="4"/>
      <c r="M549" s="4"/>
      <c r="N549" s="9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68"/>
      <c r="F550" s="4"/>
      <c r="G550" s="4"/>
      <c r="H550" s="4"/>
      <c r="I550" s="4"/>
      <c r="J550" s="4"/>
      <c r="K550" s="4"/>
      <c r="L550" s="4"/>
      <c r="M550" s="4"/>
      <c r="N550" s="9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68"/>
      <c r="F551" s="4"/>
      <c r="G551" s="4"/>
      <c r="H551" s="4"/>
      <c r="I551" s="4"/>
      <c r="J551" s="4"/>
      <c r="K551" s="4"/>
      <c r="L551" s="4"/>
      <c r="M551" s="4"/>
      <c r="N551" s="9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68"/>
      <c r="F552" s="4"/>
      <c r="G552" s="4"/>
      <c r="H552" s="4"/>
      <c r="I552" s="4"/>
      <c r="J552" s="4"/>
      <c r="K552" s="4"/>
      <c r="L552" s="4"/>
      <c r="M552" s="4"/>
      <c r="N552" s="9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68"/>
      <c r="F553" s="4"/>
      <c r="G553" s="4"/>
      <c r="H553" s="4"/>
      <c r="I553" s="4"/>
      <c r="J553" s="4"/>
      <c r="K553" s="4"/>
      <c r="L553" s="4"/>
      <c r="M553" s="4"/>
      <c r="N553" s="9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68"/>
      <c r="F554" s="4"/>
      <c r="G554" s="4"/>
      <c r="H554" s="4"/>
      <c r="I554" s="4"/>
      <c r="J554" s="4"/>
      <c r="K554" s="4"/>
      <c r="L554" s="4"/>
      <c r="M554" s="4"/>
      <c r="N554" s="9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68"/>
      <c r="F555" s="4"/>
      <c r="G555" s="4"/>
      <c r="H555" s="4"/>
      <c r="I555" s="4"/>
      <c r="J555" s="4"/>
      <c r="K555" s="4"/>
      <c r="L555" s="4"/>
      <c r="M555" s="4"/>
      <c r="N555" s="9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68"/>
      <c r="F556" s="4"/>
      <c r="G556" s="4"/>
      <c r="H556" s="4"/>
      <c r="I556" s="4"/>
      <c r="J556" s="4"/>
      <c r="K556" s="4"/>
      <c r="L556" s="4"/>
      <c r="M556" s="4"/>
      <c r="N556" s="9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68"/>
      <c r="F557" s="4"/>
      <c r="G557" s="4"/>
      <c r="H557" s="4"/>
      <c r="I557" s="4"/>
      <c r="J557" s="4"/>
      <c r="K557" s="4"/>
      <c r="L557" s="4"/>
      <c r="M557" s="4"/>
      <c r="N557" s="9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68"/>
      <c r="F558" s="4"/>
      <c r="G558" s="4"/>
      <c r="H558" s="4"/>
      <c r="I558" s="4"/>
      <c r="J558" s="4"/>
      <c r="K558" s="4"/>
      <c r="L558" s="4"/>
      <c r="M558" s="4"/>
      <c r="N558" s="9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68"/>
      <c r="F559" s="4"/>
      <c r="G559" s="4"/>
      <c r="H559" s="4"/>
      <c r="I559" s="4"/>
      <c r="J559" s="4"/>
      <c r="K559" s="4"/>
      <c r="L559" s="4"/>
      <c r="M559" s="4"/>
      <c r="N559" s="9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68"/>
      <c r="F560" s="4"/>
      <c r="G560" s="4"/>
      <c r="H560" s="4"/>
      <c r="I560" s="4"/>
      <c r="J560" s="4"/>
      <c r="K560" s="4"/>
      <c r="L560" s="4"/>
      <c r="M560" s="4"/>
      <c r="N560" s="9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68"/>
      <c r="F561" s="4"/>
      <c r="G561" s="4"/>
      <c r="H561" s="4"/>
      <c r="I561" s="4"/>
      <c r="J561" s="4"/>
      <c r="K561" s="4"/>
      <c r="L561" s="4"/>
      <c r="M561" s="4"/>
      <c r="N561" s="9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68"/>
      <c r="F562" s="4"/>
      <c r="G562" s="4"/>
      <c r="H562" s="4"/>
      <c r="I562" s="4"/>
      <c r="J562" s="4"/>
      <c r="K562" s="4"/>
      <c r="L562" s="4"/>
      <c r="M562" s="4"/>
      <c r="N562" s="9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68"/>
      <c r="F563" s="4"/>
      <c r="G563" s="4"/>
      <c r="H563" s="4"/>
      <c r="I563" s="4"/>
      <c r="J563" s="4"/>
      <c r="K563" s="4"/>
      <c r="L563" s="4"/>
      <c r="M563" s="4"/>
      <c r="N563" s="9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68"/>
      <c r="F564" s="4"/>
      <c r="G564" s="4"/>
      <c r="H564" s="4"/>
      <c r="I564" s="4"/>
      <c r="J564" s="4"/>
      <c r="K564" s="4"/>
      <c r="L564" s="4"/>
      <c r="M564" s="4"/>
      <c r="N564" s="9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68"/>
      <c r="F565" s="4"/>
      <c r="G565" s="4"/>
      <c r="H565" s="4"/>
      <c r="I565" s="4"/>
      <c r="J565" s="4"/>
      <c r="K565" s="4"/>
      <c r="L565" s="4"/>
      <c r="M565" s="4"/>
      <c r="N565" s="9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68"/>
      <c r="F566" s="4"/>
      <c r="G566" s="4"/>
      <c r="H566" s="4"/>
      <c r="I566" s="4"/>
      <c r="J566" s="4"/>
      <c r="K566" s="4"/>
      <c r="L566" s="4"/>
      <c r="M566" s="4"/>
      <c r="N566" s="9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68"/>
      <c r="F567" s="4"/>
      <c r="G567" s="4"/>
      <c r="H567" s="4"/>
      <c r="I567" s="4"/>
      <c r="J567" s="4"/>
      <c r="K567" s="4"/>
      <c r="L567" s="4"/>
      <c r="M567" s="4"/>
      <c r="N567" s="9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68"/>
      <c r="F568" s="4"/>
      <c r="G568" s="4"/>
      <c r="H568" s="4"/>
      <c r="I568" s="4"/>
      <c r="J568" s="4"/>
      <c r="K568" s="4"/>
      <c r="L568" s="4"/>
      <c r="M568" s="4"/>
      <c r="N568" s="9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68"/>
      <c r="F569" s="4"/>
      <c r="G569" s="4"/>
      <c r="H569" s="4"/>
      <c r="I569" s="4"/>
      <c r="J569" s="4"/>
      <c r="K569" s="4"/>
      <c r="L569" s="4"/>
      <c r="M569" s="4"/>
      <c r="N569" s="9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68"/>
      <c r="F570" s="4"/>
      <c r="G570" s="4"/>
      <c r="H570" s="4"/>
      <c r="I570" s="4"/>
      <c r="J570" s="4"/>
      <c r="K570" s="4"/>
      <c r="L570" s="4"/>
      <c r="M570" s="4"/>
      <c r="N570" s="9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68"/>
      <c r="F571" s="4"/>
      <c r="G571" s="4"/>
      <c r="H571" s="4"/>
      <c r="I571" s="4"/>
      <c r="J571" s="4"/>
      <c r="K571" s="4"/>
      <c r="L571" s="4"/>
      <c r="M571" s="4"/>
      <c r="N571" s="9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68"/>
      <c r="F572" s="4"/>
      <c r="G572" s="4"/>
      <c r="H572" s="4"/>
      <c r="I572" s="4"/>
      <c r="J572" s="4"/>
      <c r="K572" s="4"/>
      <c r="L572" s="4"/>
      <c r="M572" s="4"/>
      <c r="N572" s="9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68"/>
      <c r="F573" s="4"/>
      <c r="G573" s="4"/>
      <c r="H573" s="4"/>
      <c r="I573" s="4"/>
      <c r="J573" s="4"/>
      <c r="K573" s="4"/>
      <c r="L573" s="4"/>
      <c r="M573" s="4"/>
      <c r="N573" s="9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68"/>
      <c r="F574" s="4"/>
      <c r="G574" s="4"/>
      <c r="H574" s="4"/>
      <c r="I574" s="4"/>
      <c r="J574" s="4"/>
      <c r="K574" s="4"/>
      <c r="L574" s="4"/>
      <c r="M574" s="4"/>
      <c r="N574" s="9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68"/>
      <c r="F575" s="4"/>
      <c r="G575" s="4"/>
      <c r="H575" s="4"/>
      <c r="I575" s="4"/>
      <c r="J575" s="4"/>
      <c r="K575" s="4"/>
      <c r="L575" s="4"/>
      <c r="M575" s="4"/>
      <c r="N575" s="9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68"/>
      <c r="F576" s="4"/>
      <c r="G576" s="4"/>
      <c r="H576" s="4"/>
      <c r="I576" s="4"/>
      <c r="J576" s="4"/>
      <c r="K576" s="4"/>
      <c r="L576" s="4"/>
      <c r="M576" s="4"/>
      <c r="N576" s="9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68"/>
      <c r="F577" s="4"/>
      <c r="G577" s="4"/>
      <c r="H577" s="4"/>
      <c r="I577" s="4"/>
      <c r="J577" s="4"/>
      <c r="K577" s="4"/>
      <c r="L577" s="4"/>
      <c r="M577" s="4"/>
      <c r="N577" s="9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68"/>
      <c r="F578" s="4"/>
      <c r="G578" s="4"/>
      <c r="H578" s="4"/>
      <c r="I578" s="4"/>
      <c r="J578" s="4"/>
      <c r="K578" s="4"/>
      <c r="L578" s="4"/>
      <c r="M578" s="4"/>
      <c r="N578" s="9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68"/>
      <c r="F579" s="4"/>
      <c r="G579" s="4"/>
      <c r="H579" s="4"/>
      <c r="I579" s="4"/>
      <c r="J579" s="4"/>
      <c r="K579" s="4"/>
      <c r="L579" s="4"/>
      <c r="M579" s="4"/>
      <c r="N579" s="9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68"/>
      <c r="F580" s="4"/>
      <c r="G580" s="4"/>
      <c r="H580" s="4"/>
      <c r="I580" s="4"/>
      <c r="J580" s="4"/>
      <c r="K580" s="4"/>
      <c r="L580" s="4"/>
      <c r="M580" s="4"/>
      <c r="N580" s="9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68"/>
      <c r="F581" s="4"/>
      <c r="G581" s="4"/>
      <c r="H581" s="4"/>
      <c r="I581" s="4"/>
      <c r="J581" s="4"/>
      <c r="K581" s="4"/>
      <c r="L581" s="4"/>
      <c r="M581" s="4"/>
      <c r="N581" s="9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68"/>
      <c r="F582" s="4"/>
      <c r="G582" s="4"/>
      <c r="H582" s="4"/>
      <c r="I582" s="4"/>
      <c r="J582" s="4"/>
      <c r="K582" s="4"/>
      <c r="L582" s="4"/>
      <c r="M582" s="4"/>
      <c r="N582" s="9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68"/>
      <c r="F583" s="4"/>
      <c r="G583" s="4"/>
      <c r="H583" s="4"/>
      <c r="I583" s="4"/>
      <c r="J583" s="4"/>
      <c r="K583" s="4"/>
      <c r="L583" s="4"/>
      <c r="M583" s="4"/>
      <c r="N583" s="9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68"/>
      <c r="F584" s="4"/>
      <c r="G584" s="4"/>
      <c r="H584" s="4"/>
      <c r="I584" s="4"/>
      <c r="J584" s="4"/>
      <c r="K584" s="4"/>
      <c r="L584" s="4"/>
      <c r="M584" s="4"/>
      <c r="N584" s="9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68"/>
      <c r="F585" s="4"/>
      <c r="G585" s="4"/>
      <c r="H585" s="4"/>
      <c r="I585" s="4"/>
      <c r="J585" s="4"/>
      <c r="K585" s="4"/>
      <c r="L585" s="4"/>
      <c r="M585" s="4"/>
      <c r="N585" s="9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68"/>
      <c r="F586" s="4"/>
      <c r="G586" s="4"/>
      <c r="H586" s="4"/>
      <c r="I586" s="4"/>
      <c r="J586" s="4"/>
      <c r="K586" s="4"/>
      <c r="L586" s="4"/>
      <c r="M586" s="4"/>
      <c r="N586" s="9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68"/>
      <c r="F587" s="4"/>
      <c r="G587" s="4"/>
      <c r="H587" s="4"/>
      <c r="I587" s="4"/>
      <c r="J587" s="4"/>
      <c r="K587" s="4"/>
      <c r="L587" s="4"/>
      <c r="M587" s="4"/>
      <c r="N587" s="9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68"/>
      <c r="F588" s="4"/>
      <c r="G588" s="4"/>
      <c r="H588" s="4"/>
      <c r="I588" s="4"/>
      <c r="J588" s="4"/>
      <c r="K588" s="4"/>
      <c r="L588" s="4"/>
      <c r="M588" s="4"/>
      <c r="N588" s="9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68"/>
      <c r="F589" s="4"/>
      <c r="G589" s="4"/>
      <c r="H589" s="4"/>
      <c r="I589" s="4"/>
      <c r="J589" s="4"/>
      <c r="K589" s="4"/>
      <c r="L589" s="4"/>
      <c r="M589" s="4"/>
      <c r="N589" s="9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68"/>
      <c r="F590" s="4"/>
      <c r="G590" s="4"/>
      <c r="H590" s="4"/>
      <c r="I590" s="4"/>
      <c r="J590" s="4"/>
      <c r="K590" s="4"/>
      <c r="L590" s="4"/>
      <c r="M590" s="4"/>
      <c r="N590" s="9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68"/>
      <c r="F591" s="4"/>
      <c r="G591" s="4"/>
      <c r="H591" s="4"/>
      <c r="I591" s="4"/>
      <c r="J591" s="4"/>
      <c r="K591" s="4"/>
      <c r="L591" s="4"/>
      <c r="M591" s="4"/>
      <c r="N591" s="9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68"/>
      <c r="F592" s="4"/>
      <c r="G592" s="4"/>
      <c r="H592" s="4"/>
      <c r="I592" s="4"/>
      <c r="J592" s="4"/>
      <c r="K592" s="4"/>
      <c r="L592" s="4"/>
      <c r="M592" s="4"/>
      <c r="N592" s="9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68"/>
      <c r="F593" s="4"/>
      <c r="G593" s="4"/>
      <c r="H593" s="4"/>
      <c r="I593" s="4"/>
      <c r="J593" s="4"/>
      <c r="K593" s="4"/>
      <c r="L593" s="4"/>
      <c r="M593" s="4"/>
      <c r="N593" s="9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68"/>
      <c r="F594" s="4"/>
      <c r="G594" s="4"/>
      <c r="H594" s="4"/>
      <c r="I594" s="4"/>
      <c r="J594" s="4"/>
      <c r="K594" s="4"/>
      <c r="L594" s="4"/>
      <c r="M594" s="4"/>
      <c r="N594" s="9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68"/>
      <c r="F595" s="4"/>
      <c r="G595" s="4"/>
      <c r="H595" s="4"/>
      <c r="I595" s="4"/>
      <c r="J595" s="4"/>
      <c r="K595" s="4"/>
      <c r="L595" s="4"/>
      <c r="M595" s="4"/>
      <c r="N595" s="9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68"/>
      <c r="F596" s="4"/>
      <c r="G596" s="4"/>
      <c r="H596" s="4"/>
      <c r="I596" s="4"/>
      <c r="J596" s="4"/>
      <c r="K596" s="4"/>
      <c r="L596" s="4"/>
      <c r="M596" s="4"/>
      <c r="N596" s="9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68"/>
      <c r="F597" s="4"/>
      <c r="G597" s="4"/>
      <c r="H597" s="4"/>
      <c r="I597" s="4"/>
      <c r="J597" s="4"/>
      <c r="K597" s="4"/>
      <c r="L597" s="4"/>
      <c r="M597" s="4"/>
      <c r="N597" s="9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68"/>
      <c r="F598" s="4"/>
      <c r="G598" s="4"/>
      <c r="H598" s="4"/>
      <c r="I598" s="4"/>
      <c r="J598" s="4"/>
      <c r="K598" s="4"/>
      <c r="L598" s="4"/>
      <c r="M598" s="4"/>
      <c r="N598" s="9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68"/>
      <c r="F599" s="4"/>
      <c r="G599" s="4"/>
      <c r="H599" s="4"/>
      <c r="I599" s="4"/>
      <c r="J599" s="4"/>
      <c r="K599" s="4"/>
      <c r="L599" s="4"/>
      <c r="M599" s="4"/>
      <c r="N599" s="9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68"/>
      <c r="F600" s="4"/>
      <c r="G600" s="4"/>
      <c r="H600" s="4"/>
      <c r="I600" s="4"/>
      <c r="J600" s="4"/>
      <c r="K600" s="4"/>
      <c r="L600" s="4"/>
      <c r="M600" s="4"/>
      <c r="N600" s="9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68"/>
      <c r="F601" s="4"/>
      <c r="G601" s="4"/>
      <c r="H601" s="4"/>
      <c r="I601" s="4"/>
      <c r="J601" s="4"/>
      <c r="K601" s="4"/>
      <c r="L601" s="4"/>
      <c r="M601" s="4"/>
      <c r="N601" s="9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68"/>
      <c r="F602" s="4"/>
      <c r="G602" s="4"/>
      <c r="H602" s="4"/>
      <c r="I602" s="4"/>
      <c r="J602" s="4"/>
      <c r="K602" s="4"/>
      <c r="L602" s="4"/>
      <c r="M602" s="4"/>
      <c r="N602" s="9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68"/>
      <c r="F603" s="4"/>
      <c r="G603" s="4"/>
      <c r="H603" s="4"/>
      <c r="I603" s="4"/>
      <c r="J603" s="4"/>
      <c r="K603" s="4"/>
      <c r="L603" s="4"/>
      <c r="M603" s="4"/>
      <c r="N603" s="9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68"/>
      <c r="F604" s="4"/>
      <c r="G604" s="4"/>
      <c r="H604" s="4"/>
      <c r="I604" s="4"/>
      <c r="J604" s="4"/>
      <c r="K604" s="4"/>
      <c r="L604" s="4"/>
      <c r="M604" s="4"/>
      <c r="N604" s="9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68"/>
      <c r="F605" s="4"/>
      <c r="G605" s="4"/>
      <c r="H605" s="4"/>
      <c r="I605" s="4"/>
      <c r="J605" s="4"/>
      <c r="K605" s="4"/>
      <c r="L605" s="4"/>
      <c r="M605" s="4"/>
      <c r="N605" s="9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68"/>
      <c r="F606" s="4"/>
      <c r="G606" s="4"/>
      <c r="H606" s="4"/>
      <c r="I606" s="4"/>
      <c r="J606" s="4"/>
      <c r="K606" s="4"/>
      <c r="L606" s="4"/>
      <c r="M606" s="4"/>
      <c r="N606" s="9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68"/>
      <c r="F607" s="4"/>
      <c r="G607" s="4"/>
      <c r="H607" s="4"/>
      <c r="I607" s="4"/>
      <c r="J607" s="4"/>
      <c r="K607" s="4"/>
      <c r="L607" s="4"/>
      <c r="M607" s="4"/>
      <c r="N607" s="9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68"/>
      <c r="F608" s="4"/>
      <c r="G608" s="4"/>
      <c r="H608" s="4"/>
      <c r="I608" s="4"/>
      <c r="J608" s="4"/>
      <c r="K608" s="4"/>
      <c r="L608" s="4"/>
      <c r="M608" s="4"/>
      <c r="N608" s="9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68"/>
      <c r="F609" s="4"/>
      <c r="G609" s="4"/>
      <c r="H609" s="4"/>
      <c r="I609" s="4"/>
      <c r="J609" s="4"/>
      <c r="K609" s="4"/>
      <c r="L609" s="4"/>
      <c r="M609" s="4"/>
      <c r="N609" s="9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68"/>
      <c r="F610" s="4"/>
      <c r="G610" s="4"/>
      <c r="H610" s="4"/>
      <c r="I610" s="4"/>
      <c r="J610" s="4"/>
      <c r="K610" s="4"/>
      <c r="L610" s="4"/>
      <c r="M610" s="4"/>
      <c r="N610" s="9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68"/>
      <c r="F611" s="4"/>
      <c r="G611" s="4"/>
      <c r="H611" s="4"/>
      <c r="I611" s="4"/>
      <c r="J611" s="4"/>
      <c r="K611" s="4"/>
      <c r="L611" s="4"/>
      <c r="M611" s="4"/>
      <c r="N611" s="9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68"/>
      <c r="F612" s="4"/>
      <c r="G612" s="4"/>
      <c r="H612" s="4"/>
      <c r="I612" s="4"/>
      <c r="J612" s="4"/>
      <c r="K612" s="4"/>
      <c r="L612" s="4"/>
      <c r="M612" s="4"/>
      <c r="N612" s="9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68"/>
      <c r="F613" s="4"/>
      <c r="G613" s="4"/>
      <c r="H613" s="4"/>
      <c r="I613" s="4"/>
      <c r="J613" s="4"/>
      <c r="K613" s="4"/>
      <c r="L613" s="4"/>
      <c r="M613" s="4"/>
      <c r="N613" s="9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68"/>
      <c r="F614" s="4"/>
      <c r="G614" s="4"/>
      <c r="H614" s="4"/>
      <c r="I614" s="4"/>
      <c r="J614" s="4"/>
      <c r="K614" s="4"/>
      <c r="L614" s="4"/>
      <c r="M614" s="4"/>
      <c r="N614" s="9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68"/>
      <c r="F615" s="4"/>
      <c r="G615" s="4"/>
      <c r="H615" s="4"/>
      <c r="I615" s="4"/>
      <c r="J615" s="4"/>
      <c r="K615" s="4"/>
      <c r="L615" s="4"/>
      <c r="M615" s="4"/>
      <c r="N615" s="9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68"/>
      <c r="F616" s="4"/>
      <c r="G616" s="4"/>
      <c r="H616" s="4"/>
      <c r="I616" s="4"/>
      <c r="J616" s="4"/>
      <c r="K616" s="4"/>
      <c r="L616" s="4"/>
      <c r="M616" s="4"/>
      <c r="N616" s="9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68"/>
      <c r="F617" s="4"/>
      <c r="G617" s="4"/>
      <c r="H617" s="4"/>
      <c r="I617" s="4"/>
      <c r="J617" s="4"/>
      <c r="K617" s="4"/>
      <c r="L617" s="4"/>
      <c r="M617" s="4"/>
      <c r="N617" s="9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68"/>
      <c r="F618" s="4"/>
      <c r="G618" s="4"/>
      <c r="H618" s="4"/>
      <c r="I618" s="4"/>
      <c r="J618" s="4"/>
      <c r="K618" s="4"/>
      <c r="L618" s="4"/>
      <c r="M618" s="4"/>
      <c r="N618" s="9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68"/>
      <c r="F619" s="4"/>
      <c r="G619" s="4"/>
      <c r="H619" s="4"/>
      <c r="I619" s="4"/>
      <c r="J619" s="4"/>
      <c r="K619" s="4"/>
      <c r="L619" s="4"/>
      <c r="M619" s="4"/>
      <c r="N619" s="9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68"/>
      <c r="F620" s="4"/>
      <c r="G620" s="4"/>
      <c r="H620" s="4"/>
      <c r="I620" s="4"/>
      <c r="J620" s="4"/>
      <c r="K620" s="4"/>
      <c r="L620" s="4"/>
      <c r="M620" s="4"/>
      <c r="N620" s="9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68"/>
      <c r="F621" s="4"/>
      <c r="G621" s="4"/>
      <c r="H621" s="4"/>
      <c r="I621" s="4"/>
      <c r="J621" s="4"/>
      <c r="K621" s="4"/>
      <c r="L621" s="4"/>
      <c r="M621" s="4"/>
      <c r="N621" s="9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68"/>
      <c r="F622" s="4"/>
      <c r="G622" s="4"/>
      <c r="H622" s="4"/>
      <c r="I622" s="4"/>
      <c r="J622" s="4"/>
      <c r="K622" s="4"/>
      <c r="L622" s="4"/>
      <c r="M622" s="4"/>
      <c r="N622" s="9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68"/>
      <c r="F623" s="4"/>
      <c r="G623" s="4"/>
      <c r="H623" s="4"/>
      <c r="I623" s="4"/>
      <c r="J623" s="4"/>
      <c r="K623" s="4"/>
      <c r="L623" s="4"/>
      <c r="M623" s="4"/>
      <c r="N623" s="9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68"/>
      <c r="F624" s="4"/>
      <c r="G624" s="4"/>
      <c r="H624" s="4"/>
      <c r="I624" s="4"/>
      <c r="J624" s="4"/>
      <c r="K624" s="4"/>
      <c r="L624" s="4"/>
      <c r="M624" s="4"/>
      <c r="N624" s="9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68"/>
      <c r="F625" s="4"/>
      <c r="G625" s="4"/>
      <c r="H625" s="4"/>
      <c r="I625" s="4"/>
      <c r="J625" s="4"/>
      <c r="K625" s="4"/>
      <c r="L625" s="4"/>
      <c r="M625" s="4"/>
      <c r="N625" s="9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68"/>
      <c r="F626" s="4"/>
      <c r="G626" s="4"/>
      <c r="H626" s="4"/>
      <c r="I626" s="4"/>
      <c r="J626" s="4"/>
      <c r="K626" s="4"/>
      <c r="L626" s="4"/>
      <c r="M626" s="4"/>
      <c r="N626" s="9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68"/>
      <c r="F627" s="4"/>
      <c r="G627" s="4"/>
      <c r="H627" s="4"/>
      <c r="I627" s="4"/>
      <c r="J627" s="4"/>
      <c r="K627" s="4"/>
      <c r="L627" s="4"/>
      <c r="M627" s="4"/>
      <c r="N627" s="9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68"/>
      <c r="F628" s="4"/>
      <c r="G628" s="4"/>
      <c r="H628" s="4"/>
      <c r="I628" s="4"/>
      <c r="J628" s="4"/>
      <c r="K628" s="4"/>
      <c r="L628" s="4"/>
      <c r="M628" s="4"/>
      <c r="N628" s="9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68"/>
      <c r="F629" s="4"/>
      <c r="G629" s="4"/>
      <c r="H629" s="4"/>
      <c r="I629" s="4"/>
      <c r="J629" s="4"/>
      <c r="K629" s="4"/>
      <c r="L629" s="4"/>
      <c r="M629" s="4"/>
      <c r="N629" s="9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68"/>
      <c r="F630" s="4"/>
      <c r="G630" s="4"/>
      <c r="H630" s="4"/>
      <c r="I630" s="4"/>
      <c r="J630" s="4"/>
      <c r="K630" s="4"/>
      <c r="L630" s="4"/>
      <c r="M630" s="4"/>
      <c r="N630" s="9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68"/>
      <c r="F631" s="4"/>
      <c r="G631" s="4"/>
      <c r="H631" s="4"/>
      <c r="I631" s="4"/>
      <c r="J631" s="4"/>
      <c r="K631" s="4"/>
      <c r="L631" s="4"/>
      <c r="M631" s="4"/>
      <c r="N631" s="9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68"/>
      <c r="F632" s="4"/>
      <c r="G632" s="4"/>
      <c r="H632" s="4"/>
      <c r="I632" s="4"/>
      <c r="J632" s="4"/>
      <c r="K632" s="4"/>
      <c r="L632" s="4"/>
      <c r="M632" s="4"/>
      <c r="N632" s="9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68"/>
      <c r="F633" s="4"/>
      <c r="G633" s="4"/>
      <c r="H633" s="4"/>
      <c r="I633" s="4"/>
      <c r="J633" s="4"/>
      <c r="K633" s="4"/>
      <c r="L633" s="4"/>
      <c r="M633" s="4"/>
      <c r="N633" s="9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68"/>
      <c r="F634" s="4"/>
      <c r="G634" s="4"/>
      <c r="H634" s="4"/>
      <c r="I634" s="4"/>
      <c r="J634" s="4"/>
      <c r="K634" s="4"/>
      <c r="L634" s="4"/>
      <c r="M634" s="4"/>
      <c r="N634" s="9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68"/>
      <c r="F635" s="4"/>
      <c r="G635" s="4"/>
      <c r="H635" s="4"/>
      <c r="I635" s="4"/>
      <c r="J635" s="4"/>
      <c r="K635" s="4"/>
      <c r="L635" s="4"/>
      <c r="M635" s="4"/>
      <c r="N635" s="9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68"/>
      <c r="F636" s="4"/>
      <c r="G636" s="4"/>
      <c r="H636" s="4"/>
      <c r="I636" s="4"/>
      <c r="J636" s="4"/>
      <c r="K636" s="4"/>
      <c r="L636" s="4"/>
      <c r="M636" s="4"/>
      <c r="N636" s="9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68"/>
      <c r="F637" s="4"/>
      <c r="G637" s="4"/>
      <c r="H637" s="4"/>
      <c r="I637" s="4"/>
      <c r="J637" s="4"/>
      <c r="K637" s="4"/>
      <c r="L637" s="4"/>
      <c r="M637" s="4"/>
      <c r="N637" s="9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68"/>
      <c r="F638" s="4"/>
      <c r="G638" s="4"/>
      <c r="H638" s="4"/>
      <c r="I638" s="4"/>
      <c r="J638" s="4"/>
      <c r="K638" s="4"/>
      <c r="L638" s="4"/>
      <c r="M638" s="4"/>
      <c r="N638" s="9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68"/>
      <c r="F639" s="4"/>
      <c r="G639" s="4"/>
      <c r="H639" s="4"/>
      <c r="I639" s="4"/>
      <c r="J639" s="4"/>
      <c r="K639" s="4"/>
      <c r="L639" s="4"/>
      <c r="M639" s="4"/>
      <c r="N639" s="9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68"/>
      <c r="F640" s="4"/>
      <c r="G640" s="4"/>
      <c r="H640" s="4"/>
      <c r="I640" s="4"/>
      <c r="J640" s="4"/>
      <c r="K640" s="4"/>
      <c r="L640" s="4"/>
      <c r="M640" s="4"/>
      <c r="N640" s="9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68"/>
      <c r="F641" s="4"/>
      <c r="G641" s="4"/>
      <c r="H641" s="4"/>
      <c r="I641" s="4"/>
      <c r="J641" s="4"/>
      <c r="K641" s="4"/>
      <c r="L641" s="4"/>
      <c r="M641" s="4"/>
      <c r="N641" s="9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68"/>
      <c r="F642" s="4"/>
      <c r="G642" s="4"/>
      <c r="H642" s="4"/>
      <c r="I642" s="4"/>
      <c r="J642" s="4"/>
      <c r="K642" s="4"/>
      <c r="L642" s="4"/>
      <c r="M642" s="4"/>
      <c r="N642" s="9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68"/>
      <c r="F643" s="4"/>
      <c r="G643" s="4"/>
      <c r="H643" s="4"/>
      <c r="I643" s="4"/>
      <c r="J643" s="4"/>
      <c r="K643" s="4"/>
      <c r="L643" s="4"/>
      <c r="M643" s="4"/>
      <c r="N643" s="9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68"/>
      <c r="F644" s="4"/>
      <c r="G644" s="4"/>
      <c r="H644" s="4"/>
      <c r="I644" s="4"/>
      <c r="J644" s="4"/>
      <c r="K644" s="4"/>
      <c r="L644" s="4"/>
      <c r="M644" s="4"/>
      <c r="N644" s="9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68"/>
      <c r="F645" s="4"/>
      <c r="G645" s="4"/>
      <c r="H645" s="4"/>
      <c r="I645" s="4"/>
      <c r="J645" s="4"/>
      <c r="K645" s="4"/>
      <c r="L645" s="4"/>
      <c r="M645" s="4"/>
      <c r="N645" s="9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68"/>
      <c r="F646" s="4"/>
      <c r="G646" s="4"/>
      <c r="H646" s="4"/>
      <c r="I646" s="4"/>
      <c r="J646" s="4"/>
      <c r="K646" s="4"/>
      <c r="L646" s="4"/>
      <c r="M646" s="4"/>
      <c r="N646" s="9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68"/>
      <c r="F647" s="4"/>
      <c r="G647" s="4"/>
      <c r="H647" s="4"/>
      <c r="I647" s="4"/>
      <c r="J647" s="4"/>
      <c r="K647" s="4"/>
      <c r="L647" s="4"/>
      <c r="M647" s="4"/>
      <c r="N647" s="9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68"/>
      <c r="F648" s="4"/>
      <c r="G648" s="4"/>
      <c r="H648" s="4"/>
      <c r="I648" s="4"/>
      <c r="J648" s="4"/>
      <c r="K648" s="4"/>
      <c r="L648" s="4"/>
      <c r="M648" s="4"/>
      <c r="N648" s="9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68"/>
      <c r="F649" s="4"/>
      <c r="G649" s="4"/>
      <c r="H649" s="4"/>
      <c r="I649" s="4"/>
      <c r="J649" s="4"/>
      <c r="K649" s="4"/>
      <c r="L649" s="4"/>
      <c r="M649" s="4"/>
      <c r="N649" s="9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68"/>
      <c r="F650" s="4"/>
      <c r="G650" s="4"/>
      <c r="H650" s="4"/>
      <c r="I650" s="4"/>
      <c r="J650" s="4"/>
      <c r="K650" s="4"/>
      <c r="L650" s="4"/>
      <c r="M650" s="4"/>
      <c r="N650" s="9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68"/>
      <c r="F651" s="4"/>
      <c r="G651" s="4"/>
      <c r="H651" s="4"/>
      <c r="I651" s="4"/>
      <c r="J651" s="4"/>
      <c r="K651" s="4"/>
      <c r="L651" s="4"/>
      <c r="M651" s="4"/>
      <c r="N651" s="9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68"/>
      <c r="F652" s="4"/>
      <c r="G652" s="4"/>
      <c r="H652" s="4"/>
      <c r="I652" s="4"/>
      <c r="J652" s="4"/>
      <c r="K652" s="4"/>
      <c r="L652" s="4"/>
      <c r="M652" s="4"/>
      <c r="N652" s="9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68"/>
      <c r="F653" s="4"/>
      <c r="G653" s="4"/>
      <c r="H653" s="4"/>
      <c r="I653" s="4"/>
      <c r="J653" s="4"/>
      <c r="K653" s="4"/>
      <c r="L653" s="4"/>
      <c r="M653" s="4"/>
      <c r="N653" s="9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68"/>
      <c r="F654" s="4"/>
      <c r="G654" s="4"/>
      <c r="H654" s="4"/>
      <c r="I654" s="4"/>
      <c r="J654" s="4"/>
      <c r="K654" s="4"/>
      <c r="L654" s="4"/>
      <c r="M654" s="4"/>
      <c r="N654" s="9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68"/>
      <c r="F655" s="4"/>
      <c r="G655" s="4"/>
      <c r="H655" s="4"/>
      <c r="I655" s="4"/>
      <c r="J655" s="4"/>
      <c r="K655" s="4"/>
      <c r="L655" s="4"/>
      <c r="M655" s="4"/>
      <c r="N655" s="9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68"/>
      <c r="F656" s="4"/>
      <c r="G656" s="4"/>
      <c r="H656" s="4"/>
      <c r="I656" s="4"/>
      <c r="J656" s="4"/>
      <c r="K656" s="4"/>
      <c r="L656" s="4"/>
      <c r="M656" s="4"/>
      <c r="N656" s="9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68"/>
      <c r="F657" s="4"/>
      <c r="G657" s="4"/>
      <c r="H657" s="4"/>
      <c r="I657" s="4"/>
      <c r="J657" s="4"/>
      <c r="K657" s="4"/>
      <c r="L657" s="4"/>
      <c r="M657" s="4"/>
      <c r="N657" s="9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68"/>
      <c r="F658" s="4"/>
      <c r="G658" s="4"/>
      <c r="H658" s="4"/>
      <c r="I658" s="4"/>
      <c r="J658" s="4"/>
      <c r="K658" s="4"/>
      <c r="L658" s="4"/>
      <c r="M658" s="4"/>
      <c r="N658" s="9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68"/>
      <c r="F659" s="4"/>
      <c r="G659" s="4"/>
      <c r="H659" s="4"/>
      <c r="I659" s="4"/>
      <c r="J659" s="4"/>
      <c r="K659" s="4"/>
      <c r="L659" s="4"/>
      <c r="M659" s="4"/>
      <c r="N659" s="9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68"/>
      <c r="F660" s="4"/>
      <c r="G660" s="4"/>
      <c r="H660" s="4"/>
      <c r="I660" s="4"/>
      <c r="J660" s="4"/>
      <c r="K660" s="4"/>
      <c r="L660" s="4"/>
      <c r="M660" s="4"/>
      <c r="N660" s="9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68"/>
      <c r="F661" s="4"/>
      <c r="G661" s="4"/>
      <c r="H661" s="4"/>
      <c r="I661" s="4"/>
      <c r="J661" s="4"/>
      <c r="K661" s="4"/>
      <c r="L661" s="4"/>
      <c r="M661" s="4"/>
      <c r="N661" s="9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68"/>
      <c r="F662" s="4"/>
      <c r="G662" s="4"/>
      <c r="H662" s="4"/>
      <c r="I662" s="4"/>
      <c r="J662" s="4"/>
      <c r="K662" s="4"/>
      <c r="L662" s="4"/>
      <c r="M662" s="4"/>
      <c r="N662" s="9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68"/>
      <c r="F663" s="4"/>
      <c r="G663" s="4"/>
      <c r="H663" s="4"/>
      <c r="I663" s="4"/>
      <c r="J663" s="4"/>
      <c r="K663" s="4"/>
      <c r="L663" s="4"/>
      <c r="M663" s="4"/>
      <c r="N663" s="9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68"/>
      <c r="F664" s="4"/>
      <c r="G664" s="4"/>
      <c r="H664" s="4"/>
      <c r="I664" s="4"/>
      <c r="J664" s="4"/>
      <c r="K664" s="4"/>
      <c r="L664" s="4"/>
      <c r="M664" s="4"/>
      <c r="N664" s="9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68"/>
      <c r="F665" s="4"/>
      <c r="G665" s="4"/>
      <c r="H665" s="4"/>
      <c r="I665" s="4"/>
      <c r="J665" s="4"/>
      <c r="K665" s="4"/>
      <c r="L665" s="4"/>
      <c r="M665" s="4"/>
      <c r="N665" s="9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68"/>
      <c r="F666" s="4"/>
      <c r="G666" s="4"/>
      <c r="H666" s="4"/>
      <c r="I666" s="4"/>
      <c r="J666" s="4"/>
      <c r="K666" s="4"/>
      <c r="L666" s="4"/>
      <c r="M666" s="4"/>
      <c r="N666" s="9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68"/>
      <c r="F667" s="4"/>
      <c r="G667" s="4"/>
      <c r="H667" s="4"/>
      <c r="I667" s="4"/>
      <c r="J667" s="4"/>
      <c r="K667" s="4"/>
      <c r="L667" s="4"/>
      <c r="M667" s="4"/>
      <c r="N667" s="9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68"/>
      <c r="F668" s="4"/>
      <c r="G668" s="4"/>
      <c r="H668" s="4"/>
      <c r="I668" s="4"/>
      <c r="J668" s="4"/>
      <c r="K668" s="4"/>
      <c r="L668" s="4"/>
      <c r="M668" s="4"/>
      <c r="N668" s="9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68"/>
      <c r="F669" s="4"/>
      <c r="G669" s="4"/>
      <c r="H669" s="4"/>
      <c r="I669" s="4"/>
      <c r="J669" s="4"/>
      <c r="K669" s="4"/>
      <c r="L669" s="4"/>
      <c r="M669" s="4"/>
      <c r="N669" s="9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68"/>
      <c r="F670" s="4"/>
      <c r="G670" s="4"/>
      <c r="H670" s="4"/>
      <c r="I670" s="4"/>
      <c r="J670" s="4"/>
      <c r="K670" s="4"/>
      <c r="L670" s="4"/>
      <c r="M670" s="4"/>
      <c r="N670" s="9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68"/>
      <c r="F671" s="4"/>
      <c r="G671" s="4"/>
      <c r="H671" s="4"/>
      <c r="I671" s="4"/>
      <c r="J671" s="4"/>
      <c r="K671" s="4"/>
      <c r="L671" s="4"/>
      <c r="M671" s="4"/>
      <c r="N671" s="9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68"/>
      <c r="F672" s="4"/>
      <c r="G672" s="4"/>
      <c r="H672" s="4"/>
      <c r="I672" s="4"/>
      <c r="J672" s="4"/>
      <c r="K672" s="4"/>
      <c r="L672" s="4"/>
      <c r="M672" s="4"/>
      <c r="N672" s="9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68"/>
      <c r="F673" s="4"/>
      <c r="G673" s="4"/>
      <c r="H673" s="4"/>
      <c r="I673" s="4"/>
      <c r="J673" s="4"/>
      <c r="K673" s="4"/>
      <c r="L673" s="4"/>
      <c r="M673" s="4"/>
      <c r="N673" s="9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68"/>
      <c r="F674" s="4"/>
      <c r="G674" s="4"/>
      <c r="H674" s="4"/>
      <c r="I674" s="4"/>
      <c r="J674" s="4"/>
      <c r="K674" s="4"/>
      <c r="L674" s="4"/>
      <c r="M674" s="4"/>
      <c r="N674" s="9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68"/>
      <c r="F675" s="4"/>
      <c r="G675" s="4"/>
      <c r="H675" s="4"/>
      <c r="I675" s="4"/>
      <c r="J675" s="4"/>
      <c r="K675" s="4"/>
      <c r="L675" s="4"/>
      <c r="M675" s="4"/>
      <c r="N675" s="9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68"/>
      <c r="F676" s="4"/>
      <c r="G676" s="4"/>
      <c r="H676" s="4"/>
      <c r="I676" s="4"/>
      <c r="J676" s="4"/>
      <c r="K676" s="4"/>
      <c r="L676" s="4"/>
      <c r="M676" s="4"/>
      <c r="N676" s="9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68"/>
      <c r="F677" s="4"/>
      <c r="G677" s="4"/>
      <c r="H677" s="4"/>
      <c r="I677" s="4"/>
      <c r="J677" s="4"/>
      <c r="K677" s="4"/>
      <c r="L677" s="4"/>
      <c r="M677" s="4"/>
      <c r="N677" s="9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68"/>
      <c r="F678" s="4"/>
      <c r="G678" s="4"/>
      <c r="H678" s="4"/>
      <c r="I678" s="4"/>
      <c r="J678" s="4"/>
      <c r="K678" s="4"/>
      <c r="L678" s="4"/>
      <c r="M678" s="4"/>
      <c r="N678" s="9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68"/>
      <c r="F679" s="4"/>
      <c r="G679" s="4"/>
      <c r="H679" s="4"/>
      <c r="I679" s="4"/>
      <c r="J679" s="4"/>
      <c r="K679" s="4"/>
      <c r="L679" s="4"/>
      <c r="M679" s="4"/>
      <c r="N679" s="9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68"/>
      <c r="F680" s="4"/>
      <c r="G680" s="4"/>
      <c r="H680" s="4"/>
      <c r="I680" s="4"/>
      <c r="J680" s="4"/>
      <c r="K680" s="4"/>
      <c r="L680" s="4"/>
      <c r="M680" s="4"/>
      <c r="N680" s="9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68"/>
      <c r="F681" s="4"/>
      <c r="G681" s="4"/>
      <c r="H681" s="4"/>
      <c r="I681" s="4"/>
      <c r="J681" s="4"/>
      <c r="K681" s="4"/>
      <c r="L681" s="4"/>
      <c r="M681" s="4"/>
      <c r="N681" s="9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68"/>
      <c r="F682" s="4"/>
      <c r="G682" s="4"/>
      <c r="H682" s="4"/>
      <c r="I682" s="4"/>
      <c r="J682" s="4"/>
      <c r="K682" s="4"/>
      <c r="L682" s="4"/>
      <c r="M682" s="4"/>
      <c r="N682" s="9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68"/>
      <c r="F683" s="4"/>
      <c r="G683" s="4"/>
      <c r="H683" s="4"/>
      <c r="I683" s="4"/>
      <c r="J683" s="4"/>
      <c r="K683" s="4"/>
      <c r="L683" s="4"/>
      <c r="M683" s="4"/>
      <c r="N683" s="9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68"/>
      <c r="F684" s="4"/>
      <c r="G684" s="4"/>
      <c r="H684" s="4"/>
      <c r="I684" s="4"/>
      <c r="J684" s="4"/>
      <c r="K684" s="4"/>
      <c r="L684" s="4"/>
      <c r="M684" s="4"/>
      <c r="N684" s="9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68"/>
      <c r="F685" s="4"/>
      <c r="G685" s="4"/>
      <c r="H685" s="4"/>
      <c r="I685" s="4"/>
      <c r="J685" s="4"/>
      <c r="K685" s="4"/>
      <c r="L685" s="4"/>
      <c r="M685" s="4"/>
      <c r="N685" s="9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68"/>
      <c r="F686" s="4"/>
      <c r="G686" s="4"/>
      <c r="H686" s="4"/>
      <c r="I686" s="4"/>
      <c r="J686" s="4"/>
      <c r="K686" s="4"/>
      <c r="L686" s="4"/>
      <c r="M686" s="4"/>
      <c r="N686" s="9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68"/>
      <c r="F687" s="4"/>
      <c r="G687" s="4"/>
      <c r="H687" s="4"/>
      <c r="I687" s="4"/>
      <c r="J687" s="4"/>
      <c r="K687" s="4"/>
      <c r="L687" s="4"/>
      <c r="M687" s="4"/>
      <c r="N687" s="9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68"/>
      <c r="F688" s="4"/>
      <c r="G688" s="4"/>
      <c r="H688" s="4"/>
      <c r="I688" s="4"/>
      <c r="J688" s="4"/>
      <c r="K688" s="4"/>
      <c r="L688" s="4"/>
      <c r="M688" s="4"/>
      <c r="N688" s="9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68"/>
      <c r="F689" s="4"/>
      <c r="G689" s="4"/>
      <c r="H689" s="4"/>
      <c r="I689" s="4"/>
      <c r="J689" s="4"/>
      <c r="K689" s="4"/>
      <c r="L689" s="4"/>
      <c r="M689" s="4"/>
      <c r="N689" s="9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68"/>
      <c r="F690" s="4"/>
      <c r="G690" s="4"/>
      <c r="H690" s="4"/>
      <c r="I690" s="4"/>
      <c r="J690" s="4"/>
      <c r="K690" s="4"/>
      <c r="L690" s="4"/>
      <c r="M690" s="4"/>
      <c r="N690" s="9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68"/>
      <c r="F691" s="4"/>
      <c r="G691" s="4"/>
      <c r="H691" s="4"/>
      <c r="I691" s="4"/>
      <c r="J691" s="4"/>
      <c r="K691" s="4"/>
      <c r="L691" s="4"/>
      <c r="M691" s="4"/>
      <c r="N691" s="9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68"/>
      <c r="F692" s="4"/>
      <c r="G692" s="4"/>
      <c r="H692" s="4"/>
      <c r="I692" s="4"/>
      <c r="J692" s="4"/>
      <c r="K692" s="4"/>
      <c r="L692" s="4"/>
      <c r="M692" s="4"/>
      <c r="N692" s="9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68"/>
      <c r="F693" s="4"/>
      <c r="G693" s="4"/>
      <c r="H693" s="4"/>
      <c r="I693" s="4"/>
      <c r="J693" s="4"/>
      <c r="K693" s="4"/>
      <c r="L693" s="4"/>
      <c r="M693" s="4"/>
      <c r="N693" s="9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68"/>
      <c r="F694" s="4"/>
      <c r="G694" s="4"/>
      <c r="H694" s="4"/>
      <c r="I694" s="4"/>
      <c r="J694" s="4"/>
      <c r="K694" s="4"/>
      <c r="L694" s="4"/>
      <c r="M694" s="4"/>
      <c r="N694" s="9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68"/>
      <c r="F695" s="4"/>
      <c r="G695" s="4"/>
      <c r="H695" s="4"/>
      <c r="I695" s="4"/>
      <c r="J695" s="4"/>
      <c r="K695" s="4"/>
      <c r="L695" s="4"/>
      <c r="M695" s="4"/>
      <c r="N695" s="9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68"/>
      <c r="F696" s="4"/>
      <c r="G696" s="4"/>
      <c r="H696" s="4"/>
      <c r="I696" s="4"/>
      <c r="J696" s="4"/>
      <c r="K696" s="4"/>
      <c r="L696" s="4"/>
      <c r="M696" s="4"/>
      <c r="N696" s="9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68"/>
      <c r="F697" s="4"/>
      <c r="G697" s="4"/>
      <c r="H697" s="4"/>
      <c r="I697" s="4"/>
      <c r="J697" s="4"/>
      <c r="K697" s="4"/>
      <c r="L697" s="4"/>
      <c r="M697" s="4"/>
      <c r="N697" s="9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68"/>
      <c r="F698" s="4"/>
      <c r="G698" s="4"/>
      <c r="H698" s="4"/>
      <c r="I698" s="4"/>
      <c r="J698" s="4"/>
      <c r="K698" s="4"/>
      <c r="L698" s="4"/>
      <c r="M698" s="4"/>
      <c r="N698" s="9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68"/>
      <c r="F699" s="4"/>
      <c r="G699" s="4"/>
      <c r="H699" s="4"/>
      <c r="I699" s="4"/>
      <c r="J699" s="4"/>
      <c r="K699" s="4"/>
      <c r="L699" s="4"/>
      <c r="M699" s="4"/>
      <c r="N699" s="9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68"/>
      <c r="F700" s="4"/>
      <c r="G700" s="4"/>
      <c r="H700" s="4"/>
      <c r="I700" s="4"/>
      <c r="J700" s="4"/>
      <c r="K700" s="4"/>
      <c r="L700" s="4"/>
      <c r="M700" s="4"/>
      <c r="N700" s="9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68"/>
      <c r="F701" s="4"/>
      <c r="G701" s="4"/>
      <c r="H701" s="4"/>
      <c r="I701" s="4"/>
      <c r="J701" s="4"/>
      <c r="K701" s="4"/>
      <c r="L701" s="4"/>
      <c r="M701" s="4"/>
      <c r="N701" s="9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68"/>
      <c r="F702" s="4"/>
      <c r="G702" s="4"/>
      <c r="H702" s="4"/>
      <c r="I702" s="4"/>
      <c r="J702" s="4"/>
      <c r="K702" s="4"/>
      <c r="L702" s="4"/>
      <c r="M702" s="4"/>
      <c r="N702" s="9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68"/>
      <c r="F703" s="4"/>
      <c r="G703" s="4"/>
      <c r="H703" s="4"/>
      <c r="I703" s="4"/>
      <c r="J703" s="4"/>
      <c r="K703" s="4"/>
      <c r="L703" s="4"/>
      <c r="M703" s="4"/>
      <c r="N703" s="9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68"/>
      <c r="F704" s="4"/>
      <c r="G704" s="4"/>
      <c r="H704" s="4"/>
      <c r="I704" s="4"/>
      <c r="J704" s="4"/>
      <c r="K704" s="4"/>
      <c r="L704" s="4"/>
      <c r="M704" s="4"/>
      <c r="N704" s="9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68"/>
      <c r="F705" s="4"/>
      <c r="G705" s="4"/>
      <c r="H705" s="4"/>
      <c r="I705" s="4"/>
      <c r="J705" s="4"/>
      <c r="K705" s="4"/>
      <c r="L705" s="4"/>
      <c r="M705" s="4"/>
      <c r="N705" s="9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68"/>
      <c r="F706" s="4"/>
      <c r="G706" s="4"/>
      <c r="H706" s="4"/>
      <c r="I706" s="4"/>
      <c r="J706" s="4"/>
      <c r="K706" s="4"/>
      <c r="L706" s="4"/>
      <c r="M706" s="4"/>
      <c r="N706" s="9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68"/>
      <c r="F707" s="4"/>
      <c r="G707" s="4"/>
      <c r="H707" s="4"/>
      <c r="I707" s="4"/>
      <c r="J707" s="4"/>
      <c r="K707" s="4"/>
      <c r="L707" s="4"/>
      <c r="M707" s="4"/>
      <c r="N707" s="9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68"/>
      <c r="F708" s="4"/>
      <c r="G708" s="4"/>
      <c r="H708" s="4"/>
      <c r="I708" s="4"/>
      <c r="J708" s="4"/>
      <c r="K708" s="4"/>
      <c r="L708" s="4"/>
      <c r="M708" s="4"/>
      <c r="N708" s="9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68"/>
      <c r="F709" s="4"/>
      <c r="G709" s="4"/>
      <c r="H709" s="4"/>
      <c r="I709" s="4"/>
      <c r="J709" s="4"/>
      <c r="K709" s="4"/>
      <c r="L709" s="4"/>
      <c r="M709" s="4"/>
      <c r="N709" s="9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68"/>
      <c r="F710" s="4"/>
      <c r="G710" s="4"/>
      <c r="H710" s="4"/>
      <c r="I710" s="4"/>
      <c r="J710" s="4"/>
      <c r="K710" s="4"/>
      <c r="L710" s="4"/>
      <c r="M710" s="4"/>
      <c r="N710" s="9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68"/>
      <c r="F711" s="4"/>
      <c r="G711" s="4"/>
      <c r="H711" s="4"/>
      <c r="I711" s="4"/>
      <c r="J711" s="4"/>
      <c r="K711" s="4"/>
      <c r="L711" s="4"/>
      <c r="M711" s="4"/>
      <c r="N711" s="9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68"/>
      <c r="F712" s="4"/>
      <c r="G712" s="4"/>
      <c r="H712" s="4"/>
      <c r="I712" s="4"/>
      <c r="J712" s="4"/>
      <c r="K712" s="4"/>
      <c r="L712" s="4"/>
      <c r="M712" s="4"/>
      <c r="N712" s="9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68"/>
      <c r="F713" s="4"/>
      <c r="G713" s="4"/>
      <c r="H713" s="4"/>
      <c r="I713" s="4"/>
      <c r="J713" s="4"/>
      <c r="K713" s="4"/>
      <c r="L713" s="4"/>
      <c r="M713" s="4"/>
      <c r="N713" s="9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68"/>
      <c r="F714" s="4"/>
      <c r="G714" s="4"/>
      <c r="H714" s="4"/>
      <c r="I714" s="4"/>
      <c r="J714" s="4"/>
      <c r="K714" s="4"/>
      <c r="L714" s="4"/>
      <c r="M714" s="4"/>
      <c r="N714" s="9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68"/>
      <c r="F715" s="4"/>
      <c r="G715" s="4"/>
      <c r="H715" s="4"/>
      <c r="I715" s="4"/>
      <c r="J715" s="4"/>
      <c r="K715" s="4"/>
      <c r="L715" s="4"/>
      <c r="M715" s="4"/>
      <c r="N715" s="9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68"/>
      <c r="F716" s="4"/>
      <c r="G716" s="4"/>
      <c r="H716" s="4"/>
      <c r="I716" s="4"/>
      <c r="J716" s="4"/>
      <c r="K716" s="4"/>
      <c r="L716" s="4"/>
      <c r="M716" s="4"/>
      <c r="N716" s="9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68"/>
      <c r="F717" s="4"/>
      <c r="G717" s="4"/>
      <c r="H717" s="4"/>
      <c r="I717" s="4"/>
      <c r="J717" s="4"/>
      <c r="K717" s="4"/>
      <c r="L717" s="4"/>
      <c r="M717" s="4"/>
      <c r="N717" s="9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68"/>
      <c r="F718" s="4"/>
      <c r="G718" s="4"/>
      <c r="H718" s="4"/>
      <c r="I718" s="4"/>
      <c r="J718" s="4"/>
      <c r="K718" s="4"/>
      <c r="L718" s="4"/>
      <c r="M718" s="4"/>
      <c r="N718" s="9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68"/>
      <c r="F719" s="4"/>
      <c r="G719" s="4"/>
      <c r="H719" s="4"/>
      <c r="I719" s="4"/>
      <c r="J719" s="4"/>
      <c r="K719" s="4"/>
      <c r="L719" s="4"/>
      <c r="M719" s="4"/>
      <c r="N719" s="9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68"/>
      <c r="F720" s="4"/>
      <c r="G720" s="4"/>
      <c r="H720" s="4"/>
      <c r="I720" s="4"/>
      <c r="J720" s="4"/>
      <c r="K720" s="4"/>
      <c r="L720" s="4"/>
      <c r="M720" s="4"/>
      <c r="N720" s="9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68"/>
      <c r="F721" s="4"/>
      <c r="G721" s="4"/>
      <c r="H721" s="4"/>
      <c r="I721" s="4"/>
      <c r="J721" s="4"/>
      <c r="K721" s="4"/>
      <c r="L721" s="4"/>
      <c r="M721" s="4"/>
      <c r="N721" s="9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68"/>
      <c r="F722" s="4"/>
      <c r="G722" s="4"/>
      <c r="H722" s="4"/>
      <c r="I722" s="4"/>
      <c r="J722" s="4"/>
      <c r="K722" s="4"/>
      <c r="L722" s="4"/>
      <c r="M722" s="4"/>
      <c r="N722" s="9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68"/>
      <c r="F723" s="4"/>
      <c r="G723" s="4"/>
      <c r="H723" s="4"/>
      <c r="I723" s="4"/>
      <c r="J723" s="4"/>
      <c r="K723" s="4"/>
      <c r="L723" s="4"/>
      <c r="M723" s="4"/>
      <c r="N723" s="9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68"/>
      <c r="F724" s="4"/>
      <c r="G724" s="4"/>
      <c r="H724" s="4"/>
      <c r="I724" s="4"/>
      <c r="J724" s="4"/>
      <c r="K724" s="4"/>
      <c r="L724" s="4"/>
      <c r="M724" s="4"/>
      <c r="N724" s="9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68"/>
      <c r="F725" s="4"/>
      <c r="G725" s="4"/>
      <c r="H725" s="4"/>
      <c r="I725" s="4"/>
      <c r="J725" s="4"/>
      <c r="K725" s="4"/>
      <c r="L725" s="4"/>
      <c r="M725" s="4"/>
      <c r="N725" s="9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68"/>
      <c r="F726" s="4"/>
      <c r="G726" s="4"/>
      <c r="H726" s="4"/>
      <c r="I726" s="4"/>
      <c r="J726" s="4"/>
      <c r="K726" s="4"/>
      <c r="L726" s="4"/>
      <c r="M726" s="4"/>
      <c r="N726" s="9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68"/>
      <c r="F727" s="4"/>
      <c r="G727" s="4"/>
      <c r="H727" s="4"/>
      <c r="I727" s="4"/>
      <c r="J727" s="4"/>
      <c r="K727" s="4"/>
      <c r="L727" s="4"/>
      <c r="M727" s="4"/>
      <c r="N727" s="9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68"/>
      <c r="F728" s="4"/>
      <c r="G728" s="4"/>
      <c r="H728" s="4"/>
      <c r="I728" s="4"/>
      <c r="J728" s="4"/>
      <c r="K728" s="4"/>
      <c r="L728" s="4"/>
      <c r="M728" s="4"/>
      <c r="N728" s="9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68"/>
      <c r="F729" s="4"/>
      <c r="G729" s="4"/>
      <c r="H729" s="4"/>
      <c r="I729" s="4"/>
      <c r="J729" s="4"/>
      <c r="K729" s="4"/>
      <c r="L729" s="4"/>
      <c r="M729" s="4"/>
      <c r="N729" s="9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68"/>
      <c r="F730" s="4"/>
      <c r="G730" s="4"/>
      <c r="H730" s="4"/>
      <c r="I730" s="4"/>
      <c r="J730" s="4"/>
      <c r="K730" s="4"/>
      <c r="L730" s="4"/>
      <c r="M730" s="4"/>
      <c r="N730" s="9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68"/>
      <c r="F731" s="4"/>
      <c r="G731" s="4"/>
      <c r="H731" s="4"/>
      <c r="I731" s="4"/>
      <c r="J731" s="4"/>
      <c r="K731" s="4"/>
      <c r="L731" s="4"/>
      <c r="M731" s="4"/>
      <c r="N731" s="9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68"/>
      <c r="F732" s="4"/>
      <c r="G732" s="4"/>
      <c r="H732" s="4"/>
      <c r="I732" s="4"/>
      <c r="J732" s="4"/>
      <c r="K732" s="4"/>
      <c r="L732" s="4"/>
      <c r="M732" s="4"/>
      <c r="N732" s="9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68"/>
      <c r="F733" s="4"/>
      <c r="G733" s="4"/>
      <c r="H733" s="4"/>
      <c r="I733" s="4"/>
      <c r="J733" s="4"/>
      <c r="K733" s="4"/>
      <c r="L733" s="4"/>
      <c r="M733" s="4"/>
      <c r="N733" s="9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68"/>
      <c r="F734" s="4"/>
      <c r="G734" s="4"/>
      <c r="H734" s="4"/>
      <c r="I734" s="4"/>
      <c r="J734" s="4"/>
      <c r="K734" s="4"/>
      <c r="L734" s="4"/>
      <c r="M734" s="4"/>
      <c r="N734" s="9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68"/>
      <c r="F735" s="4"/>
      <c r="G735" s="4"/>
      <c r="H735" s="4"/>
      <c r="I735" s="4"/>
      <c r="J735" s="4"/>
      <c r="K735" s="4"/>
      <c r="L735" s="4"/>
      <c r="M735" s="4"/>
      <c r="N735" s="9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68"/>
      <c r="F736" s="4"/>
      <c r="G736" s="4"/>
      <c r="H736" s="4"/>
      <c r="I736" s="4"/>
      <c r="J736" s="4"/>
      <c r="K736" s="4"/>
      <c r="L736" s="4"/>
      <c r="M736" s="4"/>
      <c r="N736" s="9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68"/>
      <c r="F737" s="4"/>
      <c r="G737" s="4"/>
      <c r="H737" s="4"/>
      <c r="I737" s="4"/>
      <c r="J737" s="4"/>
      <c r="K737" s="4"/>
      <c r="L737" s="4"/>
      <c r="M737" s="4"/>
      <c r="N737" s="9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68"/>
      <c r="F738" s="4"/>
      <c r="G738" s="4"/>
      <c r="H738" s="4"/>
      <c r="I738" s="4"/>
      <c r="J738" s="4"/>
      <c r="K738" s="4"/>
      <c r="L738" s="4"/>
      <c r="M738" s="4"/>
      <c r="N738" s="9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68"/>
      <c r="F739" s="4"/>
      <c r="G739" s="4"/>
      <c r="H739" s="4"/>
      <c r="I739" s="4"/>
      <c r="J739" s="4"/>
      <c r="K739" s="4"/>
      <c r="L739" s="4"/>
      <c r="M739" s="4"/>
      <c r="N739" s="9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68"/>
      <c r="F740" s="4"/>
      <c r="G740" s="4"/>
      <c r="H740" s="4"/>
      <c r="I740" s="4"/>
      <c r="J740" s="4"/>
      <c r="K740" s="4"/>
      <c r="L740" s="4"/>
      <c r="M740" s="4"/>
      <c r="N740" s="9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68"/>
      <c r="F741" s="4"/>
      <c r="G741" s="4"/>
      <c r="H741" s="4"/>
      <c r="I741" s="4"/>
      <c r="J741" s="4"/>
      <c r="K741" s="4"/>
      <c r="L741" s="4"/>
      <c r="M741" s="4"/>
      <c r="N741" s="9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68"/>
      <c r="F742" s="4"/>
      <c r="G742" s="4"/>
      <c r="H742" s="4"/>
      <c r="I742" s="4"/>
      <c r="J742" s="4"/>
      <c r="K742" s="4"/>
      <c r="L742" s="4"/>
      <c r="M742" s="4"/>
      <c r="N742" s="9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68"/>
      <c r="F743" s="4"/>
      <c r="G743" s="4"/>
      <c r="H743" s="4"/>
      <c r="I743" s="4"/>
      <c r="J743" s="4"/>
      <c r="K743" s="4"/>
      <c r="L743" s="4"/>
      <c r="M743" s="4"/>
      <c r="N743" s="9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68"/>
      <c r="F744" s="4"/>
      <c r="G744" s="4"/>
      <c r="H744" s="4"/>
      <c r="I744" s="4"/>
      <c r="J744" s="4"/>
      <c r="K744" s="4"/>
      <c r="L744" s="4"/>
      <c r="M744" s="4"/>
      <c r="N744" s="9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68"/>
      <c r="F745" s="4"/>
      <c r="G745" s="4"/>
      <c r="H745" s="4"/>
      <c r="I745" s="4"/>
      <c r="J745" s="4"/>
      <c r="K745" s="4"/>
      <c r="L745" s="4"/>
      <c r="M745" s="4"/>
      <c r="N745" s="9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68"/>
      <c r="F746" s="4"/>
      <c r="G746" s="4"/>
      <c r="H746" s="4"/>
      <c r="I746" s="4"/>
      <c r="J746" s="4"/>
      <c r="K746" s="4"/>
      <c r="L746" s="4"/>
      <c r="M746" s="4"/>
      <c r="N746" s="9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68"/>
      <c r="F747" s="4"/>
      <c r="G747" s="4"/>
      <c r="H747" s="4"/>
      <c r="I747" s="4"/>
      <c r="J747" s="4"/>
      <c r="K747" s="4"/>
      <c r="L747" s="4"/>
      <c r="M747" s="4"/>
      <c r="N747" s="9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68"/>
      <c r="F748" s="4"/>
      <c r="G748" s="4"/>
      <c r="H748" s="4"/>
      <c r="I748" s="4"/>
      <c r="J748" s="4"/>
      <c r="K748" s="4"/>
      <c r="L748" s="4"/>
      <c r="M748" s="4"/>
      <c r="N748" s="9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68"/>
      <c r="F749" s="4"/>
      <c r="G749" s="4"/>
      <c r="H749" s="4"/>
      <c r="I749" s="4"/>
      <c r="J749" s="4"/>
      <c r="K749" s="4"/>
      <c r="L749" s="4"/>
      <c r="M749" s="4"/>
      <c r="N749" s="9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68"/>
      <c r="F750" s="4"/>
      <c r="G750" s="4"/>
      <c r="H750" s="4"/>
      <c r="I750" s="4"/>
      <c r="J750" s="4"/>
      <c r="K750" s="4"/>
      <c r="L750" s="4"/>
      <c r="M750" s="4"/>
      <c r="N750" s="9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68"/>
      <c r="F751" s="4"/>
      <c r="G751" s="4"/>
      <c r="H751" s="4"/>
      <c r="I751" s="4"/>
      <c r="J751" s="4"/>
      <c r="K751" s="4"/>
      <c r="L751" s="4"/>
      <c r="M751" s="4"/>
      <c r="N751" s="9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68"/>
      <c r="F752" s="4"/>
      <c r="G752" s="4"/>
      <c r="H752" s="4"/>
      <c r="I752" s="4"/>
      <c r="J752" s="4"/>
      <c r="K752" s="4"/>
      <c r="L752" s="4"/>
      <c r="M752" s="4"/>
      <c r="N752" s="9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68"/>
      <c r="F753" s="4"/>
      <c r="G753" s="4"/>
      <c r="H753" s="4"/>
      <c r="I753" s="4"/>
      <c r="J753" s="4"/>
      <c r="K753" s="4"/>
      <c r="L753" s="4"/>
      <c r="M753" s="4"/>
      <c r="N753" s="9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68"/>
      <c r="F754" s="4"/>
      <c r="G754" s="4"/>
      <c r="H754" s="4"/>
      <c r="I754" s="4"/>
      <c r="J754" s="4"/>
      <c r="K754" s="4"/>
      <c r="L754" s="4"/>
      <c r="M754" s="4"/>
      <c r="N754" s="9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68"/>
      <c r="F755" s="4"/>
      <c r="G755" s="4"/>
      <c r="H755" s="4"/>
      <c r="I755" s="4"/>
      <c r="J755" s="4"/>
      <c r="K755" s="4"/>
      <c r="L755" s="4"/>
      <c r="M755" s="4"/>
      <c r="N755" s="9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68"/>
      <c r="F756" s="4"/>
      <c r="G756" s="4"/>
      <c r="H756" s="4"/>
      <c r="I756" s="4"/>
      <c r="J756" s="4"/>
      <c r="K756" s="4"/>
      <c r="L756" s="4"/>
      <c r="M756" s="4"/>
      <c r="N756" s="9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68"/>
      <c r="F757" s="4"/>
      <c r="G757" s="4"/>
      <c r="H757" s="4"/>
      <c r="I757" s="4"/>
      <c r="J757" s="4"/>
      <c r="K757" s="4"/>
      <c r="L757" s="4"/>
      <c r="M757" s="4"/>
      <c r="N757" s="9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68"/>
      <c r="F758" s="4"/>
      <c r="G758" s="4"/>
      <c r="H758" s="4"/>
      <c r="I758" s="4"/>
      <c r="J758" s="4"/>
      <c r="K758" s="4"/>
      <c r="L758" s="4"/>
      <c r="M758" s="4"/>
      <c r="N758" s="9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68"/>
      <c r="F759" s="4"/>
      <c r="G759" s="4"/>
      <c r="H759" s="4"/>
      <c r="I759" s="4"/>
      <c r="J759" s="4"/>
      <c r="K759" s="4"/>
      <c r="L759" s="4"/>
      <c r="M759" s="4"/>
      <c r="N759" s="9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68"/>
      <c r="F760" s="4"/>
      <c r="G760" s="4"/>
      <c r="H760" s="4"/>
      <c r="I760" s="4"/>
      <c r="J760" s="4"/>
      <c r="K760" s="4"/>
      <c r="L760" s="4"/>
      <c r="M760" s="4"/>
      <c r="N760" s="9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68"/>
      <c r="F761" s="4"/>
      <c r="G761" s="4"/>
      <c r="H761" s="4"/>
      <c r="I761" s="4"/>
      <c r="J761" s="4"/>
      <c r="K761" s="4"/>
      <c r="L761" s="4"/>
      <c r="M761" s="4"/>
      <c r="N761" s="9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68"/>
      <c r="F762" s="4"/>
      <c r="G762" s="4"/>
      <c r="H762" s="4"/>
      <c r="I762" s="4"/>
      <c r="J762" s="4"/>
      <c r="K762" s="4"/>
      <c r="L762" s="4"/>
      <c r="M762" s="4"/>
      <c r="N762" s="9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68"/>
      <c r="F763" s="4"/>
      <c r="G763" s="4"/>
      <c r="H763" s="4"/>
      <c r="I763" s="4"/>
      <c r="J763" s="4"/>
      <c r="K763" s="4"/>
      <c r="L763" s="4"/>
      <c r="M763" s="4"/>
      <c r="N763" s="9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68"/>
      <c r="F764" s="4"/>
      <c r="G764" s="4"/>
      <c r="H764" s="4"/>
      <c r="I764" s="4"/>
      <c r="J764" s="4"/>
      <c r="K764" s="4"/>
      <c r="L764" s="4"/>
      <c r="M764" s="4"/>
      <c r="N764" s="9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68"/>
      <c r="F765" s="4"/>
      <c r="G765" s="4"/>
      <c r="H765" s="4"/>
      <c r="I765" s="4"/>
      <c r="J765" s="4"/>
      <c r="K765" s="4"/>
      <c r="L765" s="4"/>
      <c r="M765" s="4"/>
      <c r="N765" s="9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68"/>
      <c r="F766" s="4"/>
      <c r="G766" s="4"/>
      <c r="H766" s="4"/>
      <c r="I766" s="4"/>
      <c r="J766" s="4"/>
      <c r="K766" s="4"/>
      <c r="L766" s="4"/>
      <c r="M766" s="4"/>
      <c r="N766" s="9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68"/>
      <c r="F767" s="4"/>
      <c r="G767" s="4"/>
      <c r="H767" s="4"/>
      <c r="I767" s="4"/>
      <c r="J767" s="4"/>
      <c r="K767" s="4"/>
      <c r="L767" s="4"/>
      <c r="M767" s="4"/>
      <c r="N767" s="9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68"/>
      <c r="F768" s="4"/>
      <c r="G768" s="4"/>
      <c r="H768" s="4"/>
      <c r="I768" s="4"/>
      <c r="J768" s="4"/>
      <c r="K768" s="4"/>
      <c r="L768" s="4"/>
      <c r="M768" s="4"/>
      <c r="N768" s="9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68"/>
      <c r="F769" s="4"/>
      <c r="G769" s="4"/>
      <c r="H769" s="4"/>
      <c r="I769" s="4"/>
      <c r="J769" s="4"/>
      <c r="K769" s="4"/>
      <c r="L769" s="4"/>
      <c r="M769" s="4"/>
      <c r="N769" s="9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68"/>
      <c r="F770" s="4"/>
      <c r="G770" s="4"/>
      <c r="H770" s="4"/>
      <c r="I770" s="4"/>
      <c r="J770" s="4"/>
      <c r="K770" s="4"/>
      <c r="L770" s="4"/>
      <c r="M770" s="4"/>
      <c r="N770" s="9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68"/>
      <c r="F771" s="4"/>
      <c r="G771" s="4"/>
      <c r="H771" s="4"/>
      <c r="I771" s="4"/>
      <c r="J771" s="4"/>
      <c r="K771" s="4"/>
      <c r="L771" s="4"/>
      <c r="M771" s="4"/>
      <c r="N771" s="9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68"/>
      <c r="F772" s="4"/>
      <c r="G772" s="4"/>
      <c r="H772" s="4"/>
      <c r="I772" s="4"/>
      <c r="J772" s="4"/>
      <c r="K772" s="4"/>
      <c r="L772" s="4"/>
      <c r="M772" s="4"/>
      <c r="N772" s="9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68"/>
      <c r="F773" s="4"/>
      <c r="G773" s="4"/>
      <c r="H773" s="4"/>
      <c r="I773" s="4"/>
      <c r="J773" s="4"/>
      <c r="K773" s="4"/>
      <c r="L773" s="4"/>
      <c r="M773" s="4"/>
      <c r="N773" s="9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68"/>
      <c r="F774" s="4"/>
      <c r="G774" s="4"/>
      <c r="H774" s="4"/>
      <c r="I774" s="4"/>
      <c r="J774" s="4"/>
      <c r="K774" s="4"/>
      <c r="L774" s="4"/>
      <c r="M774" s="4"/>
      <c r="N774" s="9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68"/>
      <c r="F775" s="4"/>
      <c r="G775" s="4"/>
      <c r="H775" s="4"/>
      <c r="I775" s="4"/>
      <c r="J775" s="4"/>
      <c r="K775" s="4"/>
      <c r="L775" s="4"/>
      <c r="M775" s="4"/>
      <c r="N775" s="9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68"/>
      <c r="F776" s="4"/>
      <c r="G776" s="4"/>
      <c r="H776" s="4"/>
      <c r="I776" s="4"/>
      <c r="J776" s="4"/>
      <c r="K776" s="4"/>
      <c r="L776" s="4"/>
      <c r="M776" s="4"/>
      <c r="N776" s="9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68"/>
      <c r="F777" s="4"/>
      <c r="G777" s="4"/>
      <c r="H777" s="4"/>
      <c r="I777" s="4"/>
      <c r="J777" s="4"/>
      <c r="K777" s="4"/>
      <c r="L777" s="4"/>
      <c r="M777" s="4"/>
      <c r="N777" s="9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68"/>
      <c r="F778" s="4"/>
      <c r="G778" s="4"/>
      <c r="H778" s="4"/>
      <c r="I778" s="4"/>
      <c r="J778" s="4"/>
      <c r="K778" s="4"/>
      <c r="L778" s="4"/>
      <c r="M778" s="4"/>
      <c r="N778" s="9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68"/>
      <c r="F779" s="4"/>
      <c r="G779" s="4"/>
      <c r="H779" s="4"/>
      <c r="I779" s="4"/>
      <c r="J779" s="4"/>
      <c r="K779" s="4"/>
      <c r="L779" s="4"/>
      <c r="M779" s="4"/>
      <c r="N779" s="9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68"/>
      <c r="F780" s="4"/>
      <c r="G780" s="4"/>
      <c r="H780" s="4"/>
      <c r="I780" s="4"/>
      <c r="J780" s="4"/>
      <c r="K780" s="4"/>
      <c r="L780" s="4"/>
      <c r="M780" s="4"/>
      <c r="N780" s="9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68"/>
      <c r="F781" s="4"/>
      <c r="G781" s="4"/>
      <c r="H781" s="4"/>
      <c r="I781" s="4"/>
      <c r="J781" s="4"/>
      <c r="K781" s="4"/>
      <c r="L781" s="4"/>
      <c r="M781" s="4"/>
      <c r="N781" s="9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68"/>
      <c r="F782" s="4"/>
      <c r="G782" s="4"/>
      <c r="H782" s="4"/>
      <c r="I782" s="4"/>
      <c r="J782" s="4"/>
      <c r="K782" s="4"/>
      <c r="L782" s="4"/>
      <c r="M782" s="4"/>
      <c r="N782" s="9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68"/>
      <c r="F783" s="4"/>
      <c r="G783" s="4"/>
      <c r="H783" s="4"/>
      <c r="I783" s="4"/>
      <c r="J783" s="4"/>
      <c r="K783" s="4"/>
      <c r="L783" s="4"/>
      <c r="M783" s="4"/>
      <c r="N783" s="9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68"/>
      <c r="F784" s="4"/>
      <c r="G784" s="4"/>
      <c r="H784" s="4"/>
      <c r="I784" s="4"/>
      <c r="J784" s="4"/>
      <c r="K784" s="4"/>
      <c r="L784" s="4"/>
      <c r="M784" s="4"/>
      <c r="N784" s="9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68"/>
      <c r="F785" s="4"/>
      <c r="G785" s="4"/>
      <c r="H785" s="4"/>
      <c r="I785" s="4"/>
      <c r="J785" s="4"/>
      <c r="K785" s="4"/>
      <c r="L785" s="4"/>
      <c r="M785" s="4"/>
      <c r="N785" s="9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68"/>
      <c r="F786" s="4"/>
      <c r="G786" s="4"/>
      <c r="H786" s="4"/>
      <c r="I786" s="4"/>
      <c r="J786" s="4"/>
      <c r="K786" s="4"/>
      <c r="L786" s="4"/>
      <c r="M786" s="4"/>
      <c r="N786" s="9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68"/>
      <c r="F787" s="4"/>
      <c r="G787" s="4"/>
      <c r="H787" s="4"/>
      <c r="I787" s="4"/>
      <c r="J787" s="4"/>
      <c r="K787" s="4"/>
      <c r="L787" s="4"/>
      <c r="M787" s="4"/>
      <c r="N787" s="9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68"/>
      <c r="F788" s="4"/>
      <c r="G788" s="4"/>
      <c r="H788" s="4"/>
      <c r="I788" s="4"/>
      <c r="J788" s="4"/>
      <c r="K788" s="4"/>
      <c r="L788" s="4"/>
      <c r="M788" s="4"/>
      <c r="N788" s="9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68"/>
      <c r="F789" s="4"/>
      <c r="G789" s="4"/>
      <c r="H789" s="4"/>
      <c r="I789" s="4"/>
      <c r="J789" s="4"/>
      <c r="K789" s="4"/>
      <c r="L789" s="4"/>
      <c r="M789" s="4"/>
      <c r="N789" s="9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68"/>
      <c r="F790" s="4"/>
      <c r="G790" s="4"/>
      <c r="H790" s="4"/>
      <c r="I790" s="4"/>
      <c r="J790" s="4"/>
      <c r="K790" s="4"/>
      <c r="L790" s="4"/>
      <c r="M790" s="4"/>
      <c r="N790" s="9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68"/>
      <c r="F791" s="4"/>
      <c r="G791" s="4"/>
      <c r="H791" s="4"/>
      <c r="I791" s="4"/>
      <c r="J791" s="4"/>
      <c r="K791" s="4"/>
      <c r="L791" s="4"/>
      <c r="M791" s="4"/>
      <c r="N791" s="9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68"/>
      <c r="F792" s="4"/>
      <c r="G792" s="4"/>
      <c r="H792" s="4"/>
      <c r="I792" s="4"/>
      <c r="J792" s="4"/>
      <c r="K792" s="4"/>
      <c r="L792" s="4"/>
      <c r="M792" s="4"/>
      <c r="N792" s="9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68"/>
      <c r="F793" s="4"/>
      <c r="G793" s="4"/>
      <c r="H793" s="4"/>
      <c r="I793" s="4"/>
      <c r="J793" s="4"/>
      <c r="K793" s="4"/>
      <c r="L793" s="4"/>
      <c r="M793" s="4"/>
      <c r="N793" s="9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68"/>
      <c r="F794" s="4"/>
      <c r="G794" s="4"/>
      <c r="H794" s="4"/>
      <c r="I794" s="4"/>
      <c r="J794" s="4"/>
      <c r="K794" s="4"/>
      <c r="L794" s="4"/>
      <c r="M794" s="4"/>
      <c r="N794" s="9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68"/>
      <c r="F795" s="4"/>
      <c r="G795" s="4"/>
      <c r="H795" s="4"/>
      <c r="I795" s="4"/>
      <c r="J795" s="4"/>
      <c r="K795" s="4"/>
      <c r="L795" s="4"/>
      <c r="M795" s="4"/>
      <c r="N795" s="9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68"/>
      <c r="F796" s="4"/>
      <c r="G796" s="4"/>
      <c r="H796" s="4"/>
      <c r="I796" s="4"/>
      <c r="J796" s="4"/>
      <c r="K796" s="4"/>
      <c r="L796" s="4"/>
      <c r="M796" s="4"/>
      <c r="N796" s="9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68"/>
      <c r="F797" s="4"/>
      <c r="G797" s="4"/>
      <c r="H797" s="4"/>
      <c r="I797" s="4"/>
      <c r="J797" s="4"/>
      <c r="K797" s="4"/>
      <c r="L797" s="4"/>
      <c r="M797" s="4"/>
      <c r="N797" s="9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68"/>
      <c r="F798" s="4"/>
      <c r="G798" s="4"/>
      <c r="H798" s="4"/>
      <c r="I798" s="4"/>
      <c r="J798" s="4"/>
      <c r="K798" s="4"/>
      <c r="L798" s="4"/>
      <c r="M798" s="4"/>
      <c r="N798" s="9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68"/>
      <c r="F799" s="4"/>
      <c r="G799" s="4"/>
      <c r="H799" s="4"/>
      <c r="I799" s="4"/>
      <c r="J799" s="4"/>
      <c r="K799" s="4"/>
      <c r="L799" s="4"/>
      <c r="M799" s="4"/>
      <c r="N799" s="9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68"/>
      <c r="F800" s="4"/>
      <c r="G800" s="4"/>
      <c r="H800" s="4"/>
      <c r="I800" s="4"/>
      <c r="J800" s="4"/>
      <c r="K800" s="4"/>
      <c r="L800" s="4"/>
      <c r="M800" s="4"/>
      <c r="N800" s="9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68"/>
      <c r="F801" s="4"/>
      <c r="G801" s="4"/>
      <c r="H801" s="4"/>
      <c r="I801" s="4"/>
      <c r="J801" s="4"/>
      <c r="K801" s="4"/>
      <c r="L801" s="4"/>
      <c r="M801" s="4"/>
      <c r="N801" s="9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68"/>
      <c r="F802" s="4"/>
      <c r="G802" s="4"/>
      <c r="H802" s="4"/>
      <c r="I802" s="4"/>
      <c r="J802" s="4"/>
      <c r="K802" s="4"/>
      <c r="L802" s="4"/>
      <c r="M802" s="4"/>
      <c r="N802" s="9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68"/>
      <c r="F803" s="4"/>
      <c r="G803" s="4"/>
      <c r="H803" s="4"/>
      <c r="I803" s="4"/>
      <c r="J803" s="4"/>
      <c r="K803" s="4"/>
      <c r="L803" s="4"/>
      <c r="M803" s="4"/>
      <c r="N803" s="9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68"/>
      <c r="F804" s="4"/>
      <c r="G804" s="4"/>
      <c r="H804" s="4"/>
      <c r="I804" s="4"/>
      <c r="J804" s="4"/>
      <c r="K804" s="4"/>
      <c r="L804" s="4"/>
      <c r="M804" s="4"/>
      <c r="N804" s="9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68"/>
      <c r="F805" s="4"/>
      <c r="G805" s="4"/>
      <c r="H805" s="4"/>
      <c r="I805" s="4"/>
      <c r="J805" s="4"/>
      <c r="K805" s="4"/>
      <c r="L805" s="4"/>
      <c r="M805" s="4"/>
      <c r="N805" s="9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68"/>
      <c r="F806" s="4"/>
      <c r="G806" s="4"/>
      <c r="H806" s="4"/>
      <c r="I806" s="4"/>
      <c r="J806" s="4"/>
      <c r="K806" s="4"/>
      <c r="L806" s="4"/>
      <c r="M806" s="4"/>
      <c r="N806" s="9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68"/>
      <c r="F807" s="4"/>
      <c r="G807" s="4"/>
      <c r="H807" s="4"/>
      <c r="I807" s="4"/>
      <c r="J807" s="4"/>
      <c r="K807" s="4"/>
      <c r="L807" s="4"/>
      <c r="M807" s="4"/>
      <c r="N807" s="9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68"/>
      <c r="F808" s="4"/>
      <c r="G808" s="4"/>
      <c r="H808" s="4"/>
      <c r="I808" s="4"/>
      <c r="J808" s="4"/>
      <c r="K808" s="4"/>
      <c r="L808" s="4"/>
      <c r="M808" s="4"/>
      <c r="N808" s="9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68"/>
      <c r="F809" s="4"/>
      <c r="G809" s="4"/>
      <c r="H809" s="4"/>
      <c r="I809" s="4"/>
      <c r="J809" s="4"/>
      <c r="K809" s="4"/>
      <c r="L809" s="4"/>
      <c r="M809" s="4"/>
      <c r="N809" s="9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68"/>
      <c r="F810" s="4"/>
      <c r="G810" s="4"/>
      <c r="H810" s="4"/>
      <c r="I810" s="4"/>
      <c r="J810" s="4"/>
      <c r="K810" s="4"/>
      <c r="L810" s="4"/>
      <c r="M810" s="4"/>
      <c r="N810" s="9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68"/>
      <c r="F811" s="4"/>
      <c r="G811" s="4"/>
      <c r="H811" s="4"/>
      <c r="I811" s="4"/>
      <c r="J811" s="4"/>
      <c r="K811" s="4"/>
      <c r="L811" s="4"/>
      <c r="M811" s="4"/>
      <c r="N811" s="9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68"/>
      <c r="F812" s="4"/>
      <c r="G812" s="4"/>
      <c r="H812" s="4"/>
      <c r="I812" s="4"/>
      <c r="J812" s="4"/>
      <c r="K812" s="4"/>
      <c r="L812" s="4"/>
      <c r="M812" s="4"/>
      <c r="N812" s="9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68"/>
      <c r="F813" s="4"/>
      <c r="G813" s="4"/>
      <c r="H813" s="4"/>
      <c r="I813" s="4"/>
      <c r="J813" s="4"/>
      <c r="K813" s="4"/>
      <c r="L813" s="4"/>
      <c r="M813" s="4"/>
      <c r="N813" s="9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68"/>
      <c r="F814" s="4"/>
      <c r="G814" s="4"/>
      <c r="H814" s="4"/>
      <c r="I814" s="4"/>
      <c r="J814" s="4"/>
      <c r="K814" s="4"/>
      <c r="L814" s="4"/>
      <c r="M814" s="4"/>
      <c r="N814" s="9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68"/>
      <c r="F815" s="4"/>
      <c r="G815" s="4"/>
      <c r="H815" s="4"/>
      <c r="I815" s="4"/>
      <c r="J815" s="4"/>
      <c r="K815" s="4"/>
      <c r="L815" s="4"/>
      <c r="M815" s="4"/>
      <c r="N815" s="9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68"/>
      <c r="F816" s="4"/>
      <c r="G816" s="4"/>
      <c r="H816" s="4"/>
      <c r="I816" s="4"/>
      <c r="J816" s="4"/>
      <c r="K816" s="4"/>
      <c r="L816" s="4"/>
      <c r="M816" s="4"/>
      <c r="N816" s="9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68"/>
      <c r="F817" s="4"/>
      <c r="G817" s="4"/>
      <c r="H817" s="4"/>
      <c r="I817" s="4"/>
      <c r="J817" s="4"/>
      <c r="K817" s="4"/>
      <c r="L817" s="4"/>
      <c r="M817" s="4"/>
      <c r="N817" s="9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68"/>
      <c r="F818" s="4"/>
      <c r="G818" s="4"/>
      <c r="H818" s="4"/>
      <c r="I818" s="4"/>
      <c r="J818" s="4"/>
      <c r="K818" s="4"/>
      <c r="L818" s="4"/>
      <c r="M818" s="4"/>
      <c r="N818" s="9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68"/>
      <c r="F819" s="4"/>
      <c r="G819" s="4"/>
      <c r="H819" s="4"/>
      <c r="I819" s="4"/>
      <c r="J819" s="4"/>
      <c r="K819" s="4"/>
      <c r="L819" s="4"/>
      <c r="M819" s="4"/>
      <c r="N819" s="9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68"/>
      <c r="F820" s="4"/>
      <c r="G820" s="4"/>
      <c r="H820" s="4"/>
      <c r="I820" s="4"/>
      <c r="J820" s="4"/>
      <c r="K820" s="4"/>
      <c r="L820" s="4"/>
      <c r="M820" s="4"/>
      <c r="N820" s="9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68"/>
      <c r="F821" s="4"/>
      <c r="G821" s="4"/>
      <c r="H821" s="4"/>
      <c r="I821" s="4"/>
      <c r="J821" s="4"/>
      <c r="K821" s="4"/>
      <c r="L821" s="4"/>
      <c r="M821" s="4"/>
      <c r="N821" s="9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68"/>
      <c r="F822" s="4"/>
      <c r="G822" s="4"/>
      <c r="H822" s="4"/>
      <c r="I822" s="4"/>
      <c r="J822" s="4"/>
      <c r="K822" s="4"/>
      <c r="L822" s="4"/>
      <c r="M822" s="4"/>
      <c r="N822" s="9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68"/>
      <c r="F823" s="4"/>
      <c r="G823" s="4"/>
      <c r="H823" s="4"/>
      <c r="I823" s="4"/>
      <c r="J823" s="4"/>
      <c r="K823" s="4"/>
      <c r="L823" s="4"/>
      <c r="M823" s="4"/>
      <c r="N823" s="9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68"/>
      <c r="F824" s="4"/>
      <c r="G824" s="4"/>
      <c r="H824" s="4"/>
      <c r="I824" s="4"/>
      <c r="J824" s="4"/>
      <c r="K824" s="4"/>
      <c r="L824" s="4"/>
      <c r="M824" s="4"/>
      <c r="N824" s="9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68"/>
      <c r="F825" s="4"/>
      <c r="G825" s="4"/>
      <c r="H825" s="4"/>
      <c r="I825" s="4"/>
      <c r="J825" s="4"/>
      <c r="K825" s="4"/>
      <c r="L825" s="4"/>
      <c r="M825" s="4"/>
      <c r="N825" s="9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68"/>
      <c r="F826" s="4"/>
      <c r="G826" s="4"/>
      <c r="H826" s="4"/>
      <c r="I826" s="4"/>
      <c r="J826" s="4"/>
      <c r="K826" s="4"/>
      <c r="L826" s="4"/>
      <c r="M826" s="4"/>
      <c r="N826" s="9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68"/>
      <c r="F827" s="4"/>
      <c r="G827" s="4"/>
      <c r="H827" s="4"/>
      <c r="I827" s="4"/>
      <c r="J827" s="4"/>
      <c r="K827" s="4"/>
      <c r="L827" s="4"/>
      <c r="M827" s="4"/>
      <c r="N827" s="9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68"/>
      <c r="F828" s="4"/>
      <c r="G828" s="4"/>
      <c r="H828" s="4"/>
      <c r="I828" s="4"/>
      <c r="J828" s="4"/>
      <c r="K828" s="4"/>
      <c r="L828" s="4"/>
      <c r="M828" s="4"/>
      <c r="N828" s="9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68"/>
      <c r="F829" s="4"/>
      <c r="G829" s="4"/>
      <c r="H829" s="4"/>
      <c r="I829" s="4"/>
      <c r="J829" s="4"/>
      <c r="K829" s="4"/>
      <c r="L829" s="4"/>
      <c r="M829" s="4"/>
      <c r="N829" s="9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68"/>
      <c r="F830" s="4"/>
      <c r="G830" s="4"/>
      <c r="H830" s="4"/>
      <c r="I830" s="4"/>
      <c r="J830" s="4"/>
      <c r="K830" s="4"/>
      <c r="L830" s="4"/>
      <c r="M830" s="4"/>
      <c r="N830" s="9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68"/>
      <c r="F831" s="4"/>
      <c r="G831" s="4"/>
      <c r="H831" s="4"/>
      <c r="I831" s="4"/>
      <c r="J831" s="4"/>
      <c r="K831" s="4"/>
      <c r="L831" s="4"/>
      <c r="M831" s="4"/>
      <c r="N831" s="9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68"/>
      <c r="F832" s="4"/>
      <c r="G832" s="4"/>
      <c r="H832" s="4"/>
      <c r="I832" s="4"/>
      <c r="J832" s="4"/>
      <c r="K832" s="4"/>
      <c r="L832" s="4"/>
      <c r="M832" s="4"/>
      <c r="N832" s="9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68"/>
      <c r="F833" s="4"/>
      <c r="G833" s="4"/>
      <c r="H833" s="4"/>
      <c r="I833" s="4"/>
      <c r="J833" s="4"/>
      <c r="K833" s="4"/>
      <c r="L833" s="4"/>
      <c r="M833" s="4"/>
      <c r="N833" s="9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68"/>
      <c r="F834" s="4"/>
      <c r="G834" s="4"/>
      <c r="H834" s="4"/>
      <c r="I834" s="4"/>
      <c r="J834" s="4"/>
      <c r="K834" s="4"/>
      <c r="L834" s="4"/>
      <c r="M834" s="4"/>
      <c r="N834" s="9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68"/>
      <c r="F835" s="4"/>
      <c r="G835" s="4"/>
      <c r="H835" s="4"/>
      <c r="I835" s="4"/>
      <c r="J835" s="4"/>
      <c r="K835" s="4"/>
      <c r="L835" s="4"/>
      <c r="M835" s="4"/>
      <c r="N835" s="9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68"/>
      <c r="F836" s="4"/>
      <c r="G836" s="4"/>
      <c r="H836" s="4"/>
      <c r="I836" s="4"/>
      <c r="J836" s="4"/>
      <c r="K836" s="4"/>
      <c r="L836" s="4"/>
      <c r="M836" s="4"/>
      <c r="N836" s="9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68"/>
      <c r="F837" s="4"/>
      <c r="G837" s="4"/>
      <c r="H837" s="4"/>
      <c r="I837" s="4"/>
      <c r="J837" s="4"/>
      <c r="K837" s="4"/>
      <c r="L837" s="4"/>
      <c r="M837" s="4"/>
      <c r="N837" s="9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68"/>
      <c r="F838" s="4"/>
      <c r="G838" s="4"/>
      <c r="H838" s="4"/>
      <c r="I838" s="4"/>
      <c r="J838" s="4"/>
      <c r="K838" s="4"/>
      <c r="L838" s="4"/>
      <c r="M838" s="4"/>
      <c r="N838" s="9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68"/>
      <c r="F839" s="4"/>
      <c r="G839" s="4"/>
      <c r="H839" s="4"/>
      <c r="I839" s="4"/>
      <c r="J839" s="4"/>
      <c r="K839" s="4"/>
      <c r="L839" s="4"/>
      <c r="M839" s="4"/>
      <c r="N839" s="9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68"/>
      <c r="F840" s="4"/>
      <c r="G840" s="4"/>
      <c r="H840" s="4"/>
      <c r="I840" s="4"/>
      <c r="J840" s="4"/>
      <c r="K840" s="4"/>
      <c r="L840" s="4"/>
      <c r="M840" s="4"/>
      <c r="N840" s="9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68"/>
      <c r="F841" s="4"/>
      <c r="G841" s="4"/>
      <c r="H841" s="4"/>
      <c r="I841" s="4"/>
      <c r="J841" s="4"/>
      <c r="K841" s="4"/>
      <c r="L841" s="4"/>
      <c r="M841" s="4"/>
      <c r="N841" s="9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68"/>
      <c r="F842" s="4"/>
      <c r="G842" s="4"/>
      <c r="H842" s="4"/>
      <c r="I842" s="4"/>
      <c r="J842" s="4"/>
      <c r="K842" s="4"/>
      <c r="L842" s="4"/>
      <c r="M842" s="4"/>
      <c r="N842" s="9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68"/>
      <c r="F843" s="4"/>
      <c r="G843" s="4"/>
      <c r="H843" s="4"/>
      <c r="I843" s="4"/>
      <c r="J843" s="4"/>
      <c r="K843" s="4"/>
      <c r="L843" s="4"/>
      <c r="M843" s="4"/>
      <c r="N843" s="9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68"/>
      <c r="F844" s="4"/>
      <c r="G844" s="4"/>
      <c r="H844" s="4"/>
      <c r="I844" s="4"/>
      <c r="J844" s="4"/>
      <c r="K844" s="4"/>
      <c r="L844" s="4"/>
      <c r="M844" s="4"/>
      <c r="N844" s="9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68"/>
      <c r="F845" s="4"/>
      <c r="G845" s="4"/>
      <c r="H845" s="4"/>
      <c r="I845" s="4"/>
      <c r="J845" s="4"/>
      <c r="K845" s="4"/>
      <c r="L845" s="4"/>
      <c r="M845" s="4"/>
      <c r="N845" s="9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68"/>
      <c r="F846" s="4"/>
      <c r="G846" s="4"/>
      <c r="H846" s="4"/>
      <c r="I846" s="4"/>
      <c r="J846" s="4"/>
      <c r="K846" s="4"/>
      <c r="L846" s="4"/>
      <c r="M846" s="4"/>
      <c r="N846" s="9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68"/>
      <c r="F847" s="4"/>
      <c r="G847" s="4"/>
      <c r="H847" s="4"/>
      <c r="I847" s="4"/>
      <c r="J847" s="4"/>
      <c r="K847" s="4"/>
      <c r="L847" s="4"/>
      <c r="M847" s="4"/>
      <c r="N847" s="9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68"/>
      <c r="F848" s="4"/>
      <c r="G848" s="4"/>
      <c r="H848" s="4"/>
      <c r="I848" s="4"/>
      <c r="J848" s="4"/>
      <c r="K848" s="4"/>
      <c r="L848" s="4"/>
      <c r="M848" s="4"/>
      <c r="N848" s="9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68"/>
      <c r="F849" s="4"/>
      <c r="G849" s="4"/>
      <c r="H849" s="4"/>
      <c r="I849" s="4"/>
      <c r="J849" s="4"/>
      <c r="K849" s="4"/>
      <c r="L849" s="4"/>
      <c r="M849" s="4"/>
      <c r="N849" s="9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68"/>
      <c r="F850" s="4"/>
      <c r="G850" s="4"/>
      <c r="H850" s="4"/>
      <c r="I850" s="4"/>
      <c r="J850" s="4"/>
      <c r="K850" s="4"/>
      <c r="L850" s="4"/>
      <c r="M850" s="4"/>
      <c r="N850" s="9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68"/>
      <c r="F851" s="4"/>
      <c r="G851" s="4"/>
      <c r="H851" s="4"/>
      <c r="I851" s="4"/>
      <c r="J851" s="4"/>
      <c r="K851" s="4"/>
      <c r="L851" s="4"/>
      <c r="M851" s="4"/>
      <c r="N851" s="9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68"/>
      <c r="F852" s="4"/>
      <c r="G852" s="4"/>
      <c r="H852" s="4"/>
      <c r="I852" s="4"/>
      <c r="J852" s="4"/>
      <c r="K852" s="4"/>
      <c r="L852" s="4"/>
      <c r="M852" s="4"/>
      <c r="N852" s="9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68"/>
      <c r="F853" s="4"/>
      <c r="G853" s="4"/>
      <c r="H853" s="4"/>
      <c r="I853" s="4"/>
      <c r="J853" s="4"/>
      <c r="K853" s="4"/>
      <c r="L853" s="4"/>
      <c r="M853" s="4"/>
      <c r="N853" s="9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68"/>
      <c r="F854" s="4"/>
      <c r="G854" s="4"/>
      <c r="H854" s="4"/>
      <c r="I854" s="4"/>
      <c r="J854" s="4"/>
      <c r="K854" s="4"/>
      <c r="L854" s="4"/>
      <c r="M854" s="4"/>
      <c r="N854" s="9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68"/>
      <c r="F855" s="4"/>
      <c r="G855" s="4"/>
      <c r="H855" s="4"/>
      <c r="I855" s="4"/>
      <c r="J855" s="4"/>
      <c r="K855" s="4"/>
      <c r="L855" s="4"/>
      <c r="M855" s="4"/>
      <c r="N855" s="9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68"/>
      <c r="F856" s="4"/>
      <c r="G856" s="4"/>
      <c r="H856" s="4"/>
      <c r="I856" s="4"/>
      <c r="J856" s="4"/>
      <c r="K856" s="4"/>
      <c r="L856" s="4"/>
      <c r="M856" s="4"/>
      <c r="N856" s="9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68"/>
      <c r="F857" s="4"/>
      <c r="G857" s="4"/>
      <c r="H857" s="4"/>
      <c r="I857" s="4"/>
      <c r="J857" s="4"/>
      <c r="K857" s="4"/>
      <c r="L857" s="4"/>
      <c r="M857" s="4"/>
      <c r="N857" s="9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68"/>
      <c r="F858" s="4"/>
      <c r="G858" s="4"/>
      <c r="H858" s="4"/>
      <c r="I858" s="4"/>
      <c r="J858" s="4"/>
      <c r="K858" s="4"/>
      <c r="L858" s="4"/>
      <c r="M858" s="4"/>
      <c r="N858" s="9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68"/>
      <c r="F859" s="4"/>
      <c r="G859" s="4"/>
      <c r="H859" s="4"/>
      <c r="I859" s="4"/>
      <c r="J859" s="4"/>
      <c r="K859" s="4"/>
      <c r="L859" s="4"/>
      <c r="M859" s="4"/>
      <c r="N859" s="9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68"/>
      <c r="F860" s="4"/>
      <c r="G860" s="4"/>
      <c r="H860" s="4"/>
      <c r="I860" s="4"/>
      <c r="J860" s="4"/>
      <c r="K860" s="4"/>
      <c r="L860" s="4"/>
      <c r="M860" s="4"/>
      <c r="N860" s="9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68"/>
      <c r="F861" s="4"/>
      <c r="G861" s="4"/>
      <c r="H861" s="4"/>
      <c r="I861" s="4"/>
      <c r="J861" s="4"/>
      <c r="K861" s="4"/>
      <c r="L861" s="4"/>
      <c r="M861" s="4"/>
      <c r="N861" s="9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68"/>
      <c r="F862" s="4"/>
      <c r="G862" s="4"/>
      <c r="H862" s="4"/>
      <c r="I862" s="4"/>
      <c r="J862" s="4"/>
      <c r="K862" s="4"/>
      <c r="L862" s="4"/>
      <c r="M862" s="4"/>
      <c r="N862" s="9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68"/>
      <c r="F863" s="4"/>
      <c r="G863" s="4"/>
      <c r="H863" s="4"/>
      <c r="I863" s="4"/>
      <c r="J863" s="4"/>
      <c r="K863" s="4"/>
      <c r="L863" s="4"/>
      <c r="M863" s="4"/>
      <c r="N863" s="9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68"/>
      <c r="F864" s="4"/>
      <c r="G864" s="4"/>
      <c r="H864" s="4"/>
      <c r="I864" s="4"/>
      <c r="J864" s="4"/>
      <c r="K864" s="4"/>
      <c r="L864" s="4"/>
      <c r="M864" s="4"/>
      <c r="N864" s="9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68"/>
      <c r="F865" s="4"/>
      <c r="G865" s="4"/>
      <c r="H865" s="4"/>
      <c r="I865" s="4"/>
      <c r="J865" s="4"/>
      <c r="K865" s="4"/>
      <c r="L865" s="4"/>
      <c r="M865" s="4"/>
      <c r="N865" s="9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68"/>
      <c r="F866" s="4"/>
      <c r="G866" s="4"/>
      <c r="H866" s="4"/>
      <c r="I866" s="4"/>
      <c r="J866" s="4"/>
      <c r="K866" s="4"/>
      <c r="L866" s="4"/>
      <c r="M866" s="4"/>
      <c r="N866" s="9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68"/>
      <c r="F867" s="4"/>
      <c r="G867" s="4"/>
      <c r="H867" s="4"/>
      <c r="I867" s="4"/>
      <c r="J867" s="4"/>
      <c r="K867" s="4"/>
      <c r="L867" s="4"/>
      <c r="M867" s="4"/>
      <c r="N867" s="9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68"/>
      <c r="F868" s="4"/>
      <c r="G868" s="4"/>
      <c r="H868" s="4"/>
      <c r="I868" s="4"/>
      <c r="J868" s="4"/>
      <c r="K868" s="4"/>
      <c r="L868" s="4"/>
      <c r="M868" s="4"/>
      <c r="N868" s="9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68"/>
      <c r="F869" s="4"/>
      <c r="G869" s="4"/>
      <c r="H869" s="4"/>
      <c r="I869" s="4"/>
      <c r="J869" s="4"/>
      <c r="K869" s="4"/>
      <c r="L869" s="4"/>
      <c r="M869" s="4"/>
      <c r="N869" s="9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68"/>
      <c r="F870" s="4"/>
      <c r="G870" s="4"/>
      <c r="H870" s="4"/>
      <c r="I870" s="4"/>
      <c r="J870" s="4"/>
      <c r="K870" s="4"/>
      <c r="L870" s="4"/>
      <c r="M870" s="4"/>
      <c r="N870" s="9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68"/>
      <c r="F871" s="4"/>
      <c r="G871" s="4"/>
      <c r="H871" s="4"/>
      <c r="I871" s="4"/>
      <c r="J871" s="4"/>
      <c r="K871" s="4"/>
      <c r="L871" s="4"/>
      <c r="M871" s="4"/>
      <c r="N871" s="9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68"/>
      <c r="F872" s="4"/>
      <c r="G872" s="4"/>
      <c r="H872" s="4"/>
      <c r="I872" s="4"/>
      <c r="J872" s="4"/>
      <c r="K872" s="4"/>
      <c r="L872" s="4"/>
      <c r="M872" s="4"/>
      <c r="N872" s="9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68"/>
      <c r="F873" s="4"/>
      <c r="G873" s="4"/>
      <c r="H873" s="4"/>
      <c r="I873" s="4"/>
      <c r="J873" s="4"/>
      <c r="K873" s="4"/>
      <c r="L873" s="4"/>
      <c r="M873" s="4"/>
      <c r="N873" s="9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68"/>
      <c r="F874" s="4"/>
      <c r="G874" s="4"/>
      <c r="H874" s="4"/>
      <c r="I874" s="4"/>
      <c r="J874" s="4"/>
      <c r="K874" s="4"/>
      <c r="L874" s="4"/>
      <c r="M874" s="4"/>
      <c r="N874" s="9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68"/>
      <c r="F875" s="4"/>
      <c r="G875" s="4"/>
      <c r="H875" s="4"/>
      <c r="I875" s="4"/>
      <c r="J875" s="4"/>
      <c r="K875" s="4"/>
      <c r="L875" s="4"/>
      <c r="M875" s="4"/>
      <c r="N875" s="9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68"/>
      <c r="F876" s="4"/>
      <c r="G876" s="4"/>
      <c r="H876" s="4"/>
      <c r="I876" s="4"/>
      <c r="J876" s="4"/>
      <c r="K876" s="4"/>
      <c r="L876" s="4"/>
      <c r="M876" s="4"/>
      <c r="N876" s="9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68"/>
      <c r="F877" s="4"/>
      <c r="G877" s="4"/>
      <c r="H877" s="4"/>
      <c r="I877" s="4"/>
      <c r="J877" s="4"/>
      <c r="K877" s="4"/>
      <c r="L877" s="4"/>
      <c r="M877" s="4"/>
      <c r="N877" s="9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68"/>
      <c r="F878" s="4"/>
      <c r="G878" s="4"/>
      <c r="H878" s="4"/>
      <c r="I878" s="4"/>
      <c r="J878" s="4"/>
      <c r="K878" s="4"/>
      <c r="L878" s="4"/>
      <c r="M878" s="4"/>
      <c r="N878" s="9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68"/>
      <c r="F879" s="4"/>
      <c r="G879" s="4"/>
      <c r="H879" s="4"/>
      <c r="I879" s="4"/>
      <c r="J879" s="4"/>
      <c r="K879" s="4"/>
      <c r="L879" s="4"/>
      <c r="M879" s="4"/>
      <c r="N879" s="9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68"/>
      <c r="F880" s="4"/>
      <c r="G880" s="4"/>
      <c r="H880" s="4"/>
      <c r="I880" s="4"/>
      <c r="J880" s="4"/>
      <c r="K880" s="4"/>
      <c r="L880" s="4"/>
      <c r="M880" s="4"/>
      <c r="N880" s="9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68"/>
      <c r="F881" s="4"/>
      <c r="G881" s="4"/>
      <c r="H881" s="4"/>
      <c r="I881" s="4"/>
      <c r="J881" s="4"/>
      <c r="K881" s="4"/>
      <c r="L881" s="4"/>
      <c r="M881" s="4"/>
      <c r="N881" s="9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68"/>
      <c r="F882" s="4"/>
      <c r="G882" s="4"/>
      <c r="H882" s="4"/>
      <c r="I882" s="4"/>
      <c r="J882" s="4"/>
      <c r="K882" s="4"/>
      <c r="L882" s="4"/>
      <c r="M882" s="4"/>
      <c r="N882" s="9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68"/>
      <c r="F883" s="4"/>
      <c r="G883" s="4"/>
      <c r="H883" s="4"/>
      <c r="I883" s="4"/>
      <c r="J883" s="4"/>
      <c r="K883" s="4"/>
      <c r="L883" s="4"/>
      <c r="M883" s="4"/>
      <c r="N883" s="9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68"/>
      <c r="F884" s="4"/>
      <c r="G884" s="4"/>
      <c r="H884" s="4"/>
      <c r="I884" s="4"/>
      <c r="J884" s="4"/>
      <c r="K884" s="4"/>
      <c r="L884" s="4"/>
      <c r="M884" s="4"/>
      <c r="N884" s="9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68"/>
      <c r="F885" s="4"/>
      <c r="G885" s="4"/>
      <c r="H885" s="4"/>
      <c r="I885" s="4"/>
      <c r="J885" s="4"/>
      <c r="K885" s="4"/>
      <c r="L885" s="4"/>
      <c r="M885" s="4"/>
      <c r="N885" s="9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68"/>
      <c r="F886" s="4"/>
      <c r="G886" s="4"/>
      <c r="H886" s="4"/>
      <c r="I886" s="4"/>
      <c r="J886" s="4"/>
      <c r="K886" s="4"/>
      <c r="L886" s="4"/>
      <c r="M886" s="4"/>
      <c r="N886" s="9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68"/>
      <c r="F887" s="4"/>
      <c r="G887" s="4"/>
      <c r="H887" s="4"/>
      <c r="I887" s="4"/>
      <c r="J887" s="4"/>
      <c r="K887" s="4"/>
      <c r="L887" s="4"/>
      <c r="M887" s="4"/>
      <c r="N887" s="9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68"/>
      <c r="F888" s="4"/>
      <c r="G888" s="4"/>
      <c r="H888" s="4"/>
      <c r="I888" s="4"/>
      <c r="J888" s="4"/>
      <c r="K888" s="4"/>
      <c r="L888" s="4"/>
      <c r="M888" s="4"/>
      <c r="N888" s="9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68"/>
      <c r="F889" s="4"/>
      <c r="G889" s="4"/>
      <c r="H889" s="4"/>
      <c r="I889" s="4"/>
      <c r="J889" s="4"/>
      <c r="K889" s="4"/>
      <c r="L889" s="4"/>
      <c r="M889" s="4"/>
      <c r="N889" s="9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68"/>
      <c r="F890" s="4"/>
      <c r="G890" s="4"/>
      <c r="H890" s="4"/>
      <c r="I890" s="4"/>
      <c r="J890" s="4"/>
      <c r="K890" s="4"/>
      <c r="L890" s="4"/>
      <c r="M890" s="4"/>
      <c r="N890" s="9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68"/>
      <c r="F891" s="4"/>
      <c r="G891" s="4"/>
      <c r="H891" s="4"/>
      <c r="I891" s="4"/>
      <c r="J891" s="4"/>
      <c r="K891" s="4"/>
      <c r="L891" s="4"/>
      <c r="M891" s="4"/>
      <c r="N891" s="9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68"/>
      <c r="F892" s="4"/>
      <c r="G892" s="4"/>
      <c r="H892" s="4"/>
      <c r="I892" s="4"/>
      <c r="J892" s="4"/>
      <c r="K892" s="4"/>
      <c r="L892" s="4"/>
      <c r="M892" s="4"/>
      <c r="N892" s="9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68"/>
      <c r="F893" s="4"/>
      <c r="G893" s="4"/>
      <c r="H893" s="4"/>
      <c r="I893" s="4"/>
      <c r="J893" s="4"/>
      <c r="K893" s="4"/>
      <c r="L893" s="4"/>
      <c r="M893" s="4"/>
      <c r="N893" s="9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68"/>
      <c r="F894" s="4"/>
      <c r="G894" s="4"/>
      <c r="H894" s="4"/>
      <c r="I894" s="4"/>
      <c r="J894" s="4"/>
      <c r="K894" s="4"/>
      <c r="L894" s="4"/>
      <c r="M894" s="4"/>
      <c r="N894" s="9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68"/>
      <c r="F895" s="4"/>
      <c r="G895" s="4"/>
      <c r="H895" s="4"/>
      <c r="I895" s="4"/>
      <c r="J895" s="4"/>
      <c r="K895" s="4"/>
      <c r="L895" s="4"/>
      <c r="M895" s="4"/>
      <c r="N895" s="9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68"/>
      <c r="F896" s="4"/>
      <c r="G896" s="4"/>
      <c r="H896" s="4"/>
      <c r="I896" s="4"/>
      <c r="J896" s="4"/>
      <c r="K896" s="4"/>
      <c r="L896" s="4"/>
      <c r="M896" s="4"/>
      <c r="N896" s="9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68"/>
      <c r="F897" s="4"/>
      <c r="G897" s="4"/>
      <c r="H897" s="4"/>
      <c r="I897" s="4"/>
      <c r="J897" s="4"/>
      <c r="K897" s="4"/>
      <c r="L897" s="4"/>
      <c r="M897" s="4"/>
      <c r="N897" s="9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68"/>
      <c r="F898" s="4"/>
      <c r="G898" s="4"/>
      <c r="H898" s="4"/>
      <c r="I898" s="4"/>
      <c r="J898" s="4"/>
      <c r="K898" s="4"/>
      <c r="L898" s="4"/>
      <c r="M898" s="4"/>
      <c r="N898" s="9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68"/>
      <c r="F899" s="4"/>
      <c r="G899" s="4"/>
      <c r="H899" s="4"/>
      <c r="I899" s="4"/>
      <c r="J899" s="4"/>
      <c r="K899" s="4"/>
      <c r="L899" s="4"/>
      <c r="M899" s="4"/>
      <c r="N899" s="9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68"/>
      <c r="F900" s="4"/>
      <c r="G900" s="4"/>
      <c r="H900" s="4"/>
      <c r="I900" s="4"/>
      <c r="J900" s="4"/>
      <c r="K900" s="4"/>
      <c r="L900" s="4"/>
      <c r="M900" s="4"/>
      <c r="N900" s="9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68"/>
      <c r="F901" s="4"/>
      <c r="G901" s="4"/>
      <c r="H901" s="4"/>
      <c r="I901" s="4"/>
      <c r="J901" s="4"/>
      <c r="K901" s="4"/>
      <c r="L901" s="4"/>
      <c r="M901" s="4"/>
      <c r="N901" s="9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68"/>
      <c r="F902" s="4"/>
      <c r="G902" s="4"/>
      <c r="H902" s="4"/>
      <c r="I902" s="4"/>
      <c r="J902" s="4"/>
      <c r="K902" s="4"/>
      <c r="L902" s="4"/>
      <c r="M902" s="4"/>
      <c r="N902" s="9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68"/>
      <c r="F903" s="4"/>
      <c r="G903" s="4"/>
      <c r="H903" s="4"/>
      <c r="I903" s="4"/>
      <c r="J903" s="4"/>
      <c r="K903" s="4"/>
      <c r="L903" s="4"/>
      <c r="M903" s="4"/>
      <c r="N903" s="9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68"/>
      <c r="F904" s="4"/>
      <c r="G904" s="4"/>
      <c r="H904" s="4"/>
      <c r="I904" s="4"/>
      <c r="J904" s="4"/>
      <c r="K904" s="4"/>
      <c r="L904" s="4"/>
      <c r="M904" s="4"/>
      <c r="N904" s="9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68"/>
      <c r="F905" s="4"/>
      <c r="G905" s="4"/>
      <c r="H905" s="4"/>
      <c r="I905" s="4"/>
      <c r="J905" s="4"/>
      <c r="K905" s="4"/>
      <c r="L905" s="4"/>
      <c r="M905" s="4"/>
      <c r="N905" s="9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68"/>
      <c r="F906" s="4"/>
      <c r="G906" s="4"/>
      <c r="H906" s="4"/>
      <c r="I906" s="4"/>
      <c r="J906" s="4"/>
      <c r="K906" s="4"/>
      <c r="L906" s="4"/>
      <c r="M906" s="4"/>
      <c r="N906" s="9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68"/>
      <c r="F907" s="4"/>
      <c r="G907" s="4"/>
      <c r="H907" s="4"/>
      <c r="I907" s="4"/>
      <c r="J907" s="4"/>
      <c r="K907" s="4"/>
      <c r="L907" s="4"/>
      <c r="M907" s="4"/>
      <c r="N907" s="9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68"/>
      <c r="F908" s="4"/>
      <c r="G908" s="4"/>
      <c r="H908" s="4"/>
      <c r="I908" s="4"/>
      <c r="J908" s="4"/>
      <c r="K908" s="4"/>
      <c r="L908" s="4"/>
      <c r="M908" s="4"/>
      <c r="N908" s="9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68"/>
      <c r="F909" s="4"/>
      <c r="G909" s="4"/>
      <c r="H909" s="4"/>
      <c r="I909" s="4"/>
      <c r="J909" s="4"/>
      <c r="K909" s="4"/>
      <c r="L909" s="4"/>
      <c r="M909" s="4"/>
      <c r="N909" s="9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68"/>
      <c r="F910" s="4"/>
      <c r="G910" s="4"/>
      <c r="H910" s="4"/>
      <c r="I910" s="4"/>
      <c r="J910" s="4"/>
      <c r="K910" s="4"/>
      <c r="L910" s="4"/>
      <c r="M910" s="4"/>
      <c r="N910" s="9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68"/>
      <c r="F911" s="4"/>
      <c r="G911" s="4"/>
      <c r="H911" s="4"/>
      <c r="I911" s="4"/>
      <c r="J911" s="4"/>
      <c r="K911" s="4"/>
      <c r="L911" s="4"/>
      <c r="M911" s="4"/>
      <c r="N911" s="9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68"/>
      <c r="F912" s="4"/>
      <c r="G912" s="4"/>
      <c r="H912" s="4"/>
      <c r="I912" s="4"/>
      <c r="J912" s="4"/>
      <c r="K912" s="4"/>
      <c r="L912" s="4"/>
      <c r="M912" s="4"/>
      <c r="N912" s="9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68"/>
      <c r="F913" s="4"/>
      <c r="G913" s="4"/>
      <c r="H913" s="4"/>
      <c r="I913" s="4"/>
      <c r="J913" s="4"/>
      <c r="K913" s="4"/>
      <c r="L913" s="4"/>
      <c r="M913" s="4"/>
      <c r="N913" s="9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68"/>
      <c r="F914" s="4"/>
      <c r="G914" s="4"/>
      <c r="H914" s="4"/>
      <c r="I914" s="4"/>
      <c r="J914" s="4"/>
      <c r="K914" s="4"/>
      <c r="L914" s="4"/>
      <c r="M914" s="4"/>
      <c r="N914" s="9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68"/>
      <c r="F915" s="4"/>
      <c r="G915" s="4"/>
      <c r="H915" s="4"/>
      <c r="I915" s="4"/>
      <c r="J915" s="4"/>
      <c r="K915" s="4"/>
      <c r="L915" s="4"/>
      <c r="M915" s="4"/>
      <c r="N915" s="9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68"/>
      <c r="F916" s="4"/>
      <c r="G916" s="4"/>
      <c r="H916" s="4"/>
      <c r="I916" s="4"/>
      <c r="J916" s="4"/>
      <c r="K916" s="4"/>
      <c r="L916" s="4"/>
      <c r="M916" s="4"/>
      <c r="N916" s="9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68"/>
      <c r="F917" s="4"/>
      <c r="G917" s="4"/>
      <c r="H917" s="4"/>
      <c r="I917" s="4"/>
      <c r="J917" s="4"/>
      <c r="K917" s="4"/>
      <c r="L917" s="4"/>
      <c r="M917" s="4"/>
      <c r="N917" s="9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68"/>
      <c r="F918" s="4"/>
      <c r="G918" s="4"/>
      <c r="H918" s="4"/>
      <c r="I918" s="4"/>
      <c r="J918" s="4"/>
      <c r="K918" s="4"/>
      <c r="L918" s="4"/>
      <c r="M918" s="4"/>
      <c r="N918" s="9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68"/>
      <c r="F919" s="4"/>
      <c r="G919" s="4"/>
      <c r="H919" s="4"/>
      <c r="I919" s="4"/>
      <c r="J919" s="4"/>
      <c r="K919" s="4"/>
      <c r="L919" s="4"/>
      <c r="M919" s="4"/>
      <c r="N919" s="9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68"/>
      <c r="F920" s="4"/>
      <c r="G920" s="4"/>
      <c r="H920" s="4"/>
      <c r="I920" s="4"/>
      <c r="J920" s="4"/>
      <c r="K920" s="4"/>
      <c r="L920" s="4"/>
      <c r="M920" s="4"/>
      <c r="N920" s="9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68"/>
      <c r="F921" s="4"/>
      <c r="G921" s="4"/>
      <c r="H921" s="4"/>
      <c r="I921" s="4"/>
      <c r="J921" s="4"/>
      <c r="K921" s="4"/>
      <c r="L921" s="4"/>
      <c r="M921" s="4"/>
      <c r="N921" s="9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68"/>
      <c r="F922" s="4"/>
      <c r="G922" s="4"/>
      <c r="H922" s="4"/>
      <c r="I922" s="4"/>
      <c r="J922" s="4"/>
      <c r="K922" s="4"/>
      <c r="L922" s="4"/>
      <c r="M922" s="4"/>
      <c r="N922" s="9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68"/>
      <c r="F923" s="4"/>
      <c r="G923" s="4"/>
      <c r="H923" s="4"/>
      <c r="I923" s="4"/>
      <c r="J923" s="4"/>
      <c r="K923" s="4"/>
      <c r="L923" s="4"/>
      <c r="M923" s="4"/>
      <c r="N923" s="9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68"/>
      <c r="F924" s="4"/>
      <c r="G924" s="4"/>
      <c r="H924" s="4"/>
      <c r="I924" s="4"/>
      <c r="J924" s="4"/>
      <c r="K924" s="4"/>
      <c r="L924" s="4"/>
      <c r="M924" s="4"/>
      <c r="N924" s="9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68"/>
      <c r="F925" s="4"/>
      <c r="G925" s="4"/>
      <c r="H925" s="4"/>
      <c r="I925" s="4"/>
      <c r="J925" s="4"/>
      <c r="K925" s="4"/>
      <c r="L925" s="4"/>
      <c r="M925" s="4"/>
      <c r="N925" s="9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68"/>
      <c r="F926" s="4"/>
      <c r="G926" s="4"/>
      <c r="H926" s="4"/>
      <c r="I926" s="4"/>
      <c r="J926" s="4"/>
      <c r="K926" s="4"/>
      <c r="L926" s="4"/>
      <c r="M926" s="4"/>
      <c r="N926" s="9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68"/>
      <c r="F927" s="4"/>
      <c r="G927" s="4"/>
      <c r="H927" s="4"/>
      <c r="I927" s="4"/>
      <c r="J927" s="4"/>
      <c r="K927" s="4"/>
      <c r="L927" s="4"/>
      <c r="M927" s="4"/>
      <c r="N927" s="9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68"/>
      <c r="F928" s="4"/>
      <c r="G928" s="4"/>
      <c r="H928" s="4"/>
      <c r="I928" s="4"/>
      <c r="J928" s="4"/>
      <c r="K928" s="4"/>
      <c r="L928" s="4"/>
      <c r="M928" s="4"/>
      <c r="N928" s="9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68"/>
      <c r="F929" s="4"/>
      <c r="G929" s="4"/>
      <c r="H929" s="4"/>
      <c r="I929" s="4"/>
      <c r="J929" s="4"/>
      <c r="K929" s="4"/>
      <c r="L929" s="4"/>
      <c r="M929" s="4"/>
      <c r="N929" s="9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68"/>
      <c r="F930" s="4"/>
      <c r="G930" s="4"/>
      <c r="H930" s="4"/>
      <c r="I930" s="4"/>
      <c r="J930" s="4"/>
      <c r="K930" s="4"/>
      <c r="L930" s="4"/>
      <c r="M930" s="4"/>
      <c r="N930" s="9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68"/>
      <c r="F931" s="4"/>
      <c r="G931" s="4"/>
      <c r="H931" s="4"/>
      <c r="I931" s="4"/>
      <c r="J931" s="4"/>
      <c r="K931" s="4"/>
      <c r="L931" s="4"/>
      <c r="M931" s="4"/>
      <c r="N931" s="9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68"/>
      <c r="F932" s="4"/>
      <c r="G932" s="4"/>
      <c r="H932" s="4"/>
      <c r="I932" s="4"/>
      <c r="J932" s="4"/>
      <c r="K932" s="4"/>
      <c r="L932" s="4"/>
      <c r="M932" s="4"/>
      <c r="N932" s="9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68"/>
      <c r="F933" s="4"/>
      <c r="G933" s="4"/>
      <c r="H933" s="4"/>
      <c r="I933" s="4"/>
      <c r="J933" s="4"/>
      <c r="K933" s="4"/>
      <c r="L933" s="4"/>
      <c r="M933" s="4"/>
      <c r="N933" s="9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68"/>
      <c r="F934" s="4"/>
      <c r="G934" s="4"/>
      <c r="H934" s="4"/>
      <c r="I934" s="4"/>
      <c r="J934" s="4"/>
      <c r="K934" s="4"/>
      <c r="L934" s="4"/>
      <c r="M934" s="4"/>
      <c r="N934" s="9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68"/>
      <c r="F935" s="4"/>
      <c r="G935" s="4"/>
      <c r="H935" s="4"/>
      <c r="I935" s="4"/>
      <c r="J935" s="4"/>
      <c r="K935" s="4"/>
      <c r="L935" s="4"/>
      <c r="M935" s="4"/>
      <c r="N935" s="9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68"/>
      <c r="F936" s="4"/>
      <c r="G936" s="4"/>
      <c r="H936" s="4"/>
      <c r="I936" s="4"/>
      <c r="J936" s="4"/>
      <c r="K936" s="4"/>
      <c r="L936" s="4"/>
      <c r="M936" s="4"/>
      <c r="N936" s="9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68"/>
      <c r="F937" s="4"/>
      <c r="G937" s="4"/>
      <c r="H937" s="4"/>
      <c r="I937" s="4"/>
      <c r="J937" s="4"/>
      <c r="K937" s="4"/>
      <c r="L937" s="4"/>
      <c r="M937" s="4"/>
      <c r="N937" s="9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68"/>
      <c r="F938" s="4"/>
      <c r="G938" s="4"/>
      <c r="H938" s="4"/>
      <c r="I938" s="4"/>
      <c r="J938" s="4"/>
      <c r="K938" s="4"/>
      <c r="L938" s="4"/>
      <c r="M938" s="4"/>
      <c r="N938" s="9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68"/>
      <c r="F939" s="4"/>
      <c r="G939" s="4"/>
      <c r="H939" s="4"/>
      <c r="I939" s="4"/>
      <c r="J939" s="4"/>
      <c r="K939" s="4"/>
      <c r="L939" s="4"/>
      <c r="M939" s="4"/>
      <c r="N939" s="9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68"/>
      <c r="F940" s="4"/>
      <c r="G940" s="4"/>
      <c r="H940" s="4"/>
      <c r="I940" s="4"/>
      <c r="J940" s="4"/>
      <c r="K940" s="4"/>
      <c r="L940" s="4"/>
      <c r="M940" s="4"/>
      <c r="N940" s="9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68"/>
      <c r="F941" s="4"/>
      <c r="G941" s="4"/>
      <c r="H941" s="4"/>
      <c r="I941" s="4"/>
      <c r="J941" s="4"/>
      <c r="K941" s="4"/>
      <c r="L941" s="4"/>
      <c r="M941" s="4"/>
      <c r="N941" s="9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68"/>
      <c r="F942" s="4"/>
      <c r="G942" s="4"/>
      <c r="H942" s="4"/>
      <c r="I942" s="4"/>
      <c r="J942" s="4"/>
      <c r="K942" s="4"/>
      <c r="L942" s="4"/>
      <c r="M942" s="4"/>
      <c r="N942" s="9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68"/>
      <c r="F943" s="4"/>
      <c r="G943" s="4"/>
      <c r="H943" s="4"/>
      <c r="I943" s="4"/>
      <c r="J943" s="4"/>
      <c r="K943" s="4"/>
      <c r="L943" s="4"/>
      <c r="M943" s="4"/>
      <c r="N943" s="9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68"/>
      <c r="F944" s="4"/>
      <c r="G944" s="4"/>
      <c r="H944" s="4"/>
      <c r="I944" s="4"/>
      <c r="J944" s="4"/>
      <c r="K944" s="4"/>
      <c r="L944" s="4"/>
      <c r="M944" s="4"/>
      <c r="N944" s="9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68"/>
      <c r="F945" s="4"/>
      <c r="G945" s="4"/>
      <c r="H945" s="4"/>
      <c r="I945" s="4"/>
      <c r="J945" s="4"/>
      <c r="K945" s="4"/>
      <c r="L945" s="4"/>
      <c r="M945" s="4"/>
      <c r="N945" s="9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68"/>
      <c r="F946" s="4"/>
      <c r="G946" s="4"/>
      <c r="H946" s="4"/>
      <c r="I946" s="4"/>
      <c r="J946" s="4"/>
      <c r="K946" s="4"/>
      <c r="L946" s="4"/>
      <c r="M946" s="4"/>
      <c r="N946" s="9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68"/>
      <c r="F947" s="4"/>
      <c r="G947" s="4"/>
      <c r="H947" s="4"/>
      <c r="I947" s="4"/>
      <c r="J947" s="4"/>
      <c r="K947" s="4"/>
      <c r="L947" s="4"/>
      <c r="M947" s="4"/>
      <c r="N947" s="9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68"/>
      <c r="F948" s="4"/>
      <c r="G948" s="4"/>
      <c r="H948" s="4"/>
      <c r="I948" s="4"/>
      <c r="J948" s="4"/>
      <c r="K948" s="4"/>
      <c r="L948" s="4"/>
      <c r="M948" s="4"/>
      <c r="N948" s="9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68"/>
      <c r="F949" s="4"/>
      <c r="G949" s="4"/>
      <c r="H949" s="4"/>
      <c r="I949" s="4"/>
      <c r="J949" s="4"/>
      <c r="K949" s="4"/>
      <c r="L949" s="4"/>
      <c r="M949" s="4"/>
      <c r="N949" s="9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68"/>
      <c r="F950" s="4"/>
      <c r="G950" s="4"/>
      <c r="H950" s="4"/>
      <c r="I950" s="4"/>
      <c r="J950" s="4"/>
      <c r="K950" s="4"/>
      <c r="L950" s="4"/>
      <c r="M950" s="4"/>
      <c r="N950" s="9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68"/>
      <c r="F951" s="4"/>
      <c r="G951" s="4"/>
      <c r="H951" s="4"/>
      <c r="I951" s="4"/>
      <c r="J951" s="4"/>
      <c r="K951" s="4"/>
      <c r="L951" s="4"/>
      <c r="M951" s="4"/>
      <c r="N951" s="9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68"/>
      <c r="F952" s="4"/>
      <c r="G952" s="4"/>
      <c r="H952" s="4"/>
      <c r="I952" s="4"/>
      <c r="J952" s="4"/>
      <c r="K952" s="4"/>
      <c r="L952" s="4"/>
      <c r="M952" s="4"/>
      <c r="N952" s="9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68"/>
      <c r="F953" s="4"/>
      <c r="G953" s="4"/>
      <c r="H953" s="4"/>
      <c r="I953" s="4"/>
      <c r="J953" s="4"/>
      <c r="K953" s="4"/>
      <c r="L953" s="4"/>
      <c r="M953" s="4"/>
      <c r="N953" s="9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68"/>
      <c r="F954" s="4"/>
      <c r="G954" s="4"/>
      <c r="H954" s="4"/>
      <c r="I954" s="4"/>
      <c r="J954" s="4"/>
      <c r="K954" s="4"/>
      <c r="L954" s="4"/>
      <c r="M954" s="4"/>
      <c r="N954" s="9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68"/>
      <c r="F955" s="4"/>
      <c r="G955" s="4"/>
      <c r="H955" s="4"/>
      <c r="I955" s="4"/>
      <c r="J955" s="4"/>
      <c r="K955" s="4"/>
      <c r="L955" s="4"/>
      <c r="M955" s="4"/>
      <c r="N955" s="9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68"/>
      <c r="F956" s="4"/>
      <c r="G956" s="4"/>
      <c r="H956" s="4"/>
      <c r="I956" s="4"/>
      <c r="J956" s="4"/>
      <c r="K956" s="4"/>
      <c r="L956" s="4"/>
      <c r="M956" s="4"/>
      <c r="N956" s="9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68"/>
      <c r="F957" s="4"/>
      <c r="G957" s="4"/>
      <c r="H957" s="4"/>
      <c r="I957" s="4"/>
      <c r="J957" s="4"/>
      <c r="K957" s="4"/>
      <c r="L957" s="4"/>
      <c r="M957" s="4"/>
      <c r="N957" s="9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68"/>
      <c r="F958" s="4"/>
      <c r="G958" s="4"/>
      <c r="H958" s="4"/>
      <c r="I958" s="4"/>
      <c r="J958" s="4"/>
      <c r="K958" s="4"/>
      <c r="L958" s="4"/>
      <c r="M958" s="4"/>
      <c r="N958" s="9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68"/>
      <c r="F959" s="4"/>
      <c r="G959" s="4"/>
      <c r="H959" s="4"/>
      <c r="I959" s="4"/>
      <c r="J959" s="4"/>
      <c r="K959" s="4"/>
      <c r="L959" s="4"/>
      <c r="M959" s="4"/>
      <c r="N959" s="9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68"/>
      <c r="F960" s="4"/>
      <c r="G960" s="4"/>
      <c r="H960" s="4"/>
      <c r="I960" s="4"/>
      <c r="J960" s="4"/>
      <c r="K960" s="4"/>
      <c r="L960" s="4"/>
      <c r="M960" s="4"/>
      <c r="N960" s="9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68"/>
      <c r="F961" s="4"/>
      <c r="G961" s="4"/>
      <c r="H961" s="4"/>
      <c r="I961" s="4"/>
      <c r="J961" s="4"/>
      <c r="K961" s="4"/>
      <c r="L961" s="4"/>
      <c r="M961" s="4"/>
      <c r="N961" s="9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68"/>
      <c r="F962" s="4"/>
      <c r="G962" s="4"/>
      <c r="H962" s="4"/>
      <c r="I962" s="4"/>
      <c r="J962" s="4"/>
      <c r="K962" s="4"/>
      <c r="L962" s="4"/>
      <c r="M962" s="4"/>
      <c r="N962" s="9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68"/>
      <c r="F963" s="4"/>
      <c r="G963" s="4"/>
      <c r="H963" s="4"/>
      <c r="I963" s="4"/>
      <c r="J963" s="4"/>
      <c r="K963" s="4"/>
      <c r="L963" s="4"/>
      <c r="M963" s="4"/>
      <c r="N963" s="9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68"/>
      <c r="F964" s="4"/>
      <c r="G964" s="4"/>
      <c r="H964" s="4"/>
      <c r="I964" s="4"/>
      <c r="J964" s="4"/>
      <c r="K964" s="4"/>
      <c r="L964" s="4"/>
      <c r="M964" s="4"/>
      <c r="N964" s="9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68"/>
      <c r="F965" s="4"/>
      <c r="G965" s="4"/>
      <c r="H965" s="4"/>
      <c r="I965" s="4"/>
      <c r="J965" s="4"/>
      <c r="K965" s="4"/>
      <c r="L965" s="4"/>
      <c r="M965" s="4"/>
      <c r="N965" s="9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68"/>
      <c r="F966" s="4"/>
      <c r="G966" s="4"/>
      <c r="H966" s="4"/>
      <c r="I966" s="4"/>
      <c r="J966" s="4"/>
      <c r="K966" s="4"/>
      <c r="L966" s="4"/>
      <c r="M966" s="4"/>
      <c r="N966" s="9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68"/>
      <c r="F967" s="4"/>
      <c r="G967" s="4"/>
      <c r="H967" s="4"/>
      <c r="I967" s="4"/>
      <c r="J967" s="4"/>
      <c r="K967" s="4"/>
      <c r="L967" s="4"/>
      <c r="M967" s="4"/>
      <c r="N967" s="9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68"/>
      <c r="F968" s="4"/>
      <c r="G968" s="4"/>
      <c r="H968" s="4"/>
      <c r="I968" s="4"/>
      <c r="J968" s="4"/>
      <c r="K968" s="4"/>
      <c r="L968" s="4"/>
      <c r="M968" s="4"/>
      <c r="N968" s="9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68"/>
      <c r="F969" s="4"/>
      <c r="G969" s="4"/>
      <c r="H969" s="4"/>
      <c r="I969" s="4"/>
      <c r="J969" s="4"/>
      <c r="K969" s="4"/>
      <c r="L969" s="4"/>
      <c r="M969" s="4"/>
      <c r="N969" s="9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68"/>
      <c r="F970" s="4"/>
      <c r="G970" s="4"/>
      <c r="H970" s="4"/>
      <c r="I970" s="4"/>
      <c r="J970" s="4"/>
      <c r="K970" s="4"/>
      <c r="L970" s="4"/>
      <c r="M970" s="4"/>
      <c r="N970" s="9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68"/>
      <c r="F971" s="4"/>
      <c r="G971" s="4"/>
      <c r="H971" s="4"/>
      <c r="I971" s="4"/>
      <c r="J971" s="4"/>
      <c r="K971" s="4"/>
      <c r="L971" s="4"/>
      <c r="M971" s="4"/>
      <c r="N971" s="9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68"/>
      <c r="F972" s="4"/>
      <c r="G972" s="4"/>
      <c r="H972" s="4"/>
      <c r="I972" s="4"/>
      <c r="J972" s="4"/>
      <c r="K972" s="4"/>
      <c r="L972" s="4"/>
      <c r="M972" s="4"/>
      <c r="N972" s="9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68"/>
      <c r="F973" s="4"/>
      <c r="G973" s="4"/>
      <c r="H973" s="4"/>
      <c r="I973" s="4"/>
      <c r="J973" s="4"/>
      <c r="K973" s="4"/>
      <c r="L973" s="4"/>
      <c r="M973" s="4"/>
      <c r="N973" s="9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68"/>
      <c r="F974" s="4"/>
      <c r="G974" s="4"/>
      <c r="H974" s="4"/>
      <c r="I974" s="4"/>
      <c r="J974" s="4"/>
      <c r="K974" s="4"/>
      <c r="L974" s="4"/>
      <c r="M974" s="4"/>
      <c r="N974" s="9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68"/>
      <c r="F975" s="4"/>
      <c r="G975" s="4"/>
      <c r="H975" s="4"/>
      <c r="I975" s="4"/>
      <c r="J975" s="4"/>
      <c r="K975" s="4"/>
      <c r="L975" s="4"/>
      <c r="M975" s="4"/>
      <c r="N975" s="9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68"/>
      <c r="F976" s="4"/>
      <c r="G976" s="4"/>
      <c r="H976" s="4"/>
      <c r="I976" s="4"/>
      <c r="J976" s="4"/>
      <c r="K976" s="4"/>
      <c r="L976" s="4"/>
      <c r="M976" s="4"/>
      <c r="N976" s="9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68"/>
      <c r="F977" s="4"/>
      <c r="G977" s="4"/>
      <c r="H977" s="4"/>
      <c r="I977" s="4"/>
      <c r="J977" s="4"/>
      <c r="K977" s="4"/>
      <c r="L977" s="4"/>
      <c r="M977" s="4"/>
      <c r="N977" s="9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68"/>
      <c r="F978" s="4"/>
      <c r="G978" s="4"/>
      <c r="H978" s="4"/>
      <c r="I978" s="4"/>
      <c r="J978" s="4"/>
      <c r="K978" s="4"/>
      <c r="L978" s="4"/>
      <c r="M978" s="4"/>
      <c r="N978" s="9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68"/>
      <c r="F979" s="4"/>
      <c r="G979" s="4"/>
      <c r="H979" s="4"/>
      <c r="I979" s="4"/>
      <c r="J979" s="4"/>
      <c r="K979" s="4"/>
      <c r="L979" s="4"/>
      <c r="M979" s="4"/>
      <c r="N979" s="9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68"/>
      <c r="F980" s="4"/>
      <c r="G980" s="4"/>
      <c r="H980" s="4"/>
      <c r="I980" s="4"/>
      <c r="J980" s="4"/>
      <c r="K980" s="4"/>
      <c r="L980" s="4"/>
      <c r="M980" s="4"/>
      <c r="N980" s="9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68"/>
      <c r="F981" s="4"/>
      <c r="G981" s="4"/>
      <c r="H981" s="4"/>
      <c r="I981" s="4"/>
      <c r="J981" s="4"/>
      <c r="K981" s="4"/>
      <c r="L981" s="4"/>
      <c r="M981" s="4"/>
      <c r="N981" s="9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68"/>
      <c r="F982" s="4"/>
      <c r="G982" s="4"/>
      <c r="H982" s="4"/>
      <c r="I982" s="4"/>
      <c r="J982" s="4"/>
      <c r="K982" s="4"/>
      <c r="L982" s="4"/>
      <c r="M982" s="4"/>
      <c r="N982" s="9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68"/>
      <c r="F983" s="4"/>
      <c r="G983" s="4"/>
      <c r="H983" s="4"/>
      <c r="I983" s="4"/>
      <c r="J983" s="4"/>
      <c r="K983" s="4"/>
      <c r="L983" s="4"/>
      <c r="M983" s="4"/>
      <c r="N983" s="9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68"/>
      <c r="F984" s="4"/>
      <c r="G984" s="4"/>
      <c r="H984" s="4"/>
      <c r="I984" s="4"/>
      <c r="J984" s="4"/>
      <c r="K984" s="4"/>
      <c r="L984" s="4"/>
      <c r="M984" s="4"/>
      <c r="N984" s="9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68"/>
      <c r="F985" s="4"/>
      <c r="G985" s="4"/>
      <c r="H985" s="4"/>
      <c r="I985" s="4"/>
      <c r="J985" s="4"/>
      <c r="K985" s="4"/>
      <c r="L985" s="4"/>
      <c r="M985" s="4"/>
      <c r="N985" s="9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68"/>
      <c r="F986" s="4"/>
      <c r="G986" s="4"/>
      <c r="H986" s="4"/>
      <c r="I986" s="4"/>
      <c r="J986" s="4"/>
      <c r="K986" s="4"/>
      <c r="L986" s="4"/>
      <c r="M986" s="4"/>
      <c r="N986" s="9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68"/>
      <c r="F987" s="4"/>
      <c r="G987" s="4"/>
      <c r="H987" s="4"/>
      <c r="I987" s="4"/>
      <c r="J987" s="4"/>
      <c r="K987" s="4"/>
      <c r="L987" s="4"/>
      <c r="M987" s="4"/>
      <c r="N987" s="9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68"/>
      <c r="F988" s="4"/>
      <c r="G988" s="4"/>
      <c r="H988" s="4"/>
      <c r="I988" s="4"/>
      <c r="J988" s="4"/>
      <c r="K988" s="4"/>
      <c r="L988" s="4"/>
      <c r="M988" s="4"/>
      <c r="N988" s="9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68"/>
      <c r="F989" s="4"/>
      <c r="G989" s="4"/>
      <c r="H989" s="4"/>
      <c r="I989" s="4"/>
      <c r="J989" s="4"/>
      <c r="K989" s="4"/>
      <c r="L989" s="4"/>
      <c r="M989" s="4"/>
      <c r="N989" s="9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68"/>
      <c r="F990" s="4"/>
      <c r="G990" s="4"/>
      <c r="H990" s="4"/>
      <c r="I990" s="4"/>
      <c r="J990" s="4"/>
      <c r="K990" s="4"/>
      <c r="L990" s="4"/>
      <c r="M990" s="4"/>
      <c r="N990" s="9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68"/>
      <c r="F991" s="4"/>
      <c r="G991" s="4"/>
      <c r="H991" s="4"/>
      <c r="I991" s="4"/>
      <c r="J991" s="4"/>
      <c r="K991" s="4"/>
      <c r="L991" s="4"/>
      <c r="M991" s="4"/>
      <c r="N991" s="9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68"/>
      <c r="F992" s="4"/>
      <c r="G992" s="4"/>
      <c r="H992" s="4"/>
      <c r="I992" s="4"/>
      <c r="J992" s="4"/>
      <c r="K992" s="4"/>
      <c r="L992" s="4"/>
      <c r="M992" s="4"/>
      <c r="N992" s="9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68"/>
      <c r="F993" s="4"/>
      <c r="G993" s="4"/>
      <c r="H993" s="4"/>
      <c r="I993" s="4"/>
      <c r="J993" s="4"/>
      <c r="K993" s="4"/>
      <c r="L993" s="4"/>
      <c r="M993" s="4"/>
      <c r="N993" s="9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4"/>
      <c r="E994" s="68"/>
      <c r="F994" s="4"/>
      <c r="G994" s="4"/>
      <c r="H994" s="4"/>
      <c r="I994" s="4"/>
      <c r="J994" s="4"/>
      <c r="K994" s="4"/>
      <c r="L994" s="4"/>
      <c r="M994" s="4"/>
      <c r="N994" s="9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4"/>
      <c r="E995" s="68"/>
      <c r="F995" s="4"/>
      <c r="G995" s="4"/>
      <c r="H995" s="4"/>
      <c r="I995" s="4"/>
      <c r="J995" s="4"/>
      <c r="K995" s="4"/>
      <c r="L995" s="4"/>
      <c r="M995" s="4"/>
      <c r="N995" s="9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4"/>
      <c r="E996" s="68"/>
      <c r="F996" s="4"/>
      <c r="G996" s="4"/>
      <c r="H996" s="4"/>
      <c r="I996" s="4"/>
      <c r="J996" s="4"/>
      <c r="K996" s="4"/>
      <c r="L996" s="4"/>
      <c r="M996" s="4"/>
      <c r="N996" s="9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4"/>
      <c r="E997" s="68"/>
      <c r="F997" s="4"/>
      <c r="G997" s="4"/>
      <c r="H997" s="4"/>
      <c r="I997" s="4"/>
      <c r="J997" s="4"/>
      <c r="K997" s="4"/>
      <c r="L997" s="4"/>
      <c r="M997" s="4"/>
      <c r="N997" s="9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4"/>
      <c r="E998" s="68"/>
      <c r="F998" s="4"/>
      <c r="G998" s="4"/>
      <c r="H998" s="4"/>
      <c r="I998" s="4"/>
      <c r="J998" s="4"/>
      <c r="K998" s="4"/>
      <c r="L998" s="4"/>
      <c r="M998" s="4"/>
      <c r="N998" s="9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4"/>
      <c r="E999" s="68"/>
      <c r="F999" s="4"/>
      <c r="G999" s="4"/>
      <c r="H999" s="4"/>
      <c r="I999" s="4"/>
      <c r="J999" s="4"/>
      <c r="K999" s="4"/>
      <c r="L999" s="4"/>
      <c r="M999" s="4"/>
      <c r="N999" s="9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4"/>
      <c r="E1000" s="68"/>
      <c r="F1000" s="4"/>
      <c r="G1000" s="4"/>
      <c r="H1000" s="4"/>
      <c r="I1000" s="4"/>
      <c r="J1000" s="4"/>
      <c r="K1000" s="4"/>
      <c r="L1000" s="4"/>
      <c r="M1000" s="4"/>
      <c r="N1000" s="9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4.25" customHeight="1">
      <c r="A1001" s="4"/>
      <c r="B1001" s="4"/>
      <c r="C1001" s="4"/>
      <c r="D1001" s="4"/>
      <c r="E1001" s="68"/>
      <c r="F1001" s="4"/>
      <c r="G1001" s="4"/>
      <c r="H1001" s="4"/>
      <c r="I1001" s="4"/>
      <c r="J1001" s="4"/>
      <c r="K1001" s="4"/>
      <c r="L1001" s="4"/>
      <c r="M1001" s="4"/>
      <c r="N1001" s="9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4.25" customHeight="1">
      <c r="A1002" s="4"/>
      <c r="B1002" s="4"/>
      <c r="C1002" s="4"/>
      <c r="D1002" s="4"/>
      <c r="E1002" s="68"/>
      <c r="F1002" s="4"/>
      <c r="G1002" s="4"/>
      <c r="H1002" s="4"/>
      <c r="I1002" s="4"/>
      <c r="J1002" s="4"/>
      <c r="K1002" s="4"/>
      <c r="L1002" s="4"/>
      <c r="M1002" s="4"/>
      <c r="N1002" s="9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4.25" customHeight="1">
      <c r="A1003" s="4"/>
      <c r="B1003" s="4"/>
      <c r="C1003" s="4"/>
      <c r="D1003" s="4"/>
      <c r="E1003" s="68"/>
      <c r="F1003" s="4"/>
      <c r="G1003" s="4"/>
      <c r="H1003" s="4"/>
      <c r="I1003" s="4"/>
      <c r="J1003" s="4"/>
      <c r="K1003" s="4"/>
      <c r="L1003" s="4"/>
      <c r="M1003" s="4"/>
      <c r="N1003" s="9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4.25" customHeight="1">
      <c r="A1004" s="4"/>
      <c r="B1004" s="4"/>
      <c r="C1004" s="4"/>
      <c r="D1004" s="4"/>
      <c r="E1004" s="68"/>
      <c r="F1004" s="4"/>
      <c r="G1004" s="4"/>
      <c r="H1004" s="4"/>
      <c r="I1004" s="4"/>
      <c r="J1004" s="4"/>
      <c r="K1004" s="4"/>
      <c r="L1004" s="4"/>
      <c r="M1004" s="4"/>
      <c r="N1004" s="9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4.25" customHeight="1">
      <c r="A1005" s="4"/>
      <c r="B1005" s="4"/>
      <c r="C1005" s="4"/>
      <c r="D1005" s="4"/>
      <c r="E1005" s="68"/>
      <c r="F1005" s="4"/>
      <c r="G1005" s="4"/>
      <c r="H1005" s="4"/>
      <c r="I1005" s="4"/>
      <c r="J1005" s="4"/>
      <c r="K1005" s="4"/>
      <c r="L1005" s="4"/>
      <c r="M1005" s="4"/>
      <c r="N1005" s="9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4.25" customHeight="1">
      <c r="A1006" s="4"/>
      <c r="B1006" s="4"/>
      <c r="C1006" s="4"/>
      <c r="D1006" s="4"/>
      <c r="E1006" s="68"/>
      <c r="F1006" s="4"/>
      <c r="G1006" s="4"/>
      <c r="H1006" s="4"/>
      <c r="I1006" s="4"/>
      <c r="J1006" s="4"/>
      <c r="K1006" s="4"/>
      <c r="L1006" s="4"/>
      <c r="M1006" s="4"/>
      <c r="N1006" s="9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4.25" customHeight="1">
      <c r="A1007" s="4"/>
      <c r="B1007" s="4"/>
      <c r="C1007" s="4"/>
      <c r="D1007" s="4"/>
      <c r="E1007" s="68"/>
      <c r="F1007" s="4"/>
      <c r="G1007" s="4"/>
      <c r="H1007" s="4"/>
      <c r="I1007" s="4"/>
      <c r="J1007" s="4"/>
      <c r="K1007" s="4"/>
      <c r="L1007" s="4"/>
      <c r="M1007" s="4"/>
      <c r="N1007" s="9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4.25" customHeight="1">
      <c r="A1008" s="4"/>
      <c r="B1008" s="4"/>
      <c r="C1008" s="4"/>
      <c r="D1008" s="4"/>
      <c r="E1008" s="68"/>
      <c r="F1008" s="4"/>
      <c r="G1008" s="4"/>
      <c r="H1008" s="4"/>
      <c r="I1008" s="4"/>
      <c r="J1008" s="4"/>
      <c r="K1008" s="4"/>
      <c r="L1008" s="4"/>
      <c r="M1008" s="4"/>
      <c r="N1008" s="9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4.25" customHeight="1">
      <c r="A1009" s="4"/>
      <c r="B1009" s="4"/>
      <c r="C1009" s="4"/>
      <c r="D1009" s="4"/>
      <c r="E1009" s="68"/>
      <c r="F1009" s="4"/>
      <c r="G1009" s="4"/>
      <c r="H1009" s="4"/>
      <c r="I1009" s="4"/>
      <c r="J1009" s="4"/>
      <c r="K1009" s="4"/>
      <c r="L1009" s="4"/>
      <c r="M1009" s="4"/>
      <c r="N1009" s="9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4.25" customHeight="1">
      <c r="A1010" s="4"/>
      <c r="B1010" s="4"/>
      <c r="C1010" s="4"/>
      <c r="D1010" s="4"/>
      <c r="E1010" s="68"/>
      <c r="F1010" s="4"/>
      <c r="G1010" s="4"/>
      <c r="H1010" s="4"/>
      <c r="I1010" s="4"/>
      <c r="J1010" s="4"/>
      <c r="K1010" s="4"/>
      <c r="L1010" s="4"/>
      <c r="M1010" s="4"/>
      <c r="N1010" s="9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4.25" customHeight="1">
      <c r="A1011" s="4"/>
      <c r="B1011" s="4"/>
      <c r="C1011" s="4"/>
      <c r="D1011" s="4"/>
      <c r="E1011" s="68"/>
      <c r="F1011" s="4"/>
      <c r="G1011" s="4"/>
      <c r="H1011" s="4"/>
      <c r="I1011" s="4"/>
      <c r="J1011" s="4"/>
      <c r="K1011" s="4"/>
      <c r="L1011" s="4"/>
      <c r="M1011" s="4"/>
      <c r="N1011" s="9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4.25" customHeight="1">
      <c r="A1012" s="4"/>
      <c r="B1012" s="4"/>
      <c r="C1012" s="4"/>
      <c r="D1012" s="4"/>
      <c r="E1012" s="68"/>
      <c r="F1012" s="4"/>
      <c r="G1012" s="4"/>
      <c r="H1012" s="4"/>
      <c r="I1012" s="4"/>
      <c r="J1012" s="4"/>
      <c r="K1012" s="4"/>
      <c r="L1012" s="4"/>
      <c r="M1012" s="4"/>
      <c r="N1012" s="9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4.25" customHeight="1">
      <c r="A1013" s="4"/>
      <c r="B1013" s="4"/>
      <c r="C1013" s="4"/>
      <c r="D1013" s="4"/>
      <c r="E1013" s="68"/>
      <c r="F1013" s="4"/>
      <c r="G1013" s="4"/>
      <c r="H1013" s="4"/>
      <c r="I1013" s="4"/>
      <c r="J1013" s="4"/>
      <c r="K1013" s="4"/>
      <c r="L1013" s="4"/>
      <c r="M1013" s="4"/>
      <c r="N1013" s="9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4.25" customHeight="1">
      <c r="A1014" s="4"/>
      <c r="B1014" s="4"/>
      <c r="C1014" s="4"/>
      <c r="D1014" s="4"/>
      <c r="E1014" s="68"/>
      <c r="F1014" s="4"/>
      <c r="G1014" s="4"/>
      <c r="H1014" s="4"/>
      <c r="I1014" s="4"/>
      <c r="J1014" s="4"/>
      <c r="K1014" s="4"/>
      <c r="L1014" s="4"/>
      <c r="M1014" s="4"/>
      <c r="N1014" s="9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4.25" customHeight="1">
      <c r="A1015" s="4"/>
      <c r="B1015" s="4"/>
      <c r="C1015" s="4"/>
      <c r="D1015" s="4"/>
      <c r="E1015" s="68"/>
      <c r="F1015" s="4"/>
      <c r="G1015" s="4"/>
      <c r="H1015" s="4"/>
      <c r="I1015" s="4"/>
      <c r="J1015" s="4"/>
      <c r="K1015" s="4"/>
      <c r="L1015" s="4"/>
      <c r="M1015" s="4"/>
      <c r="N1015" s="9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4.25" customHeight="1">
      <c r="A1016" s="4"/>
      <c r="B1016" s="4"/>
      <c r="C1016" s="4"/>
      <c r="D1016" s="4"/>
      <c r="E1016" s="68"/>
      <c r="F1016" s="4"/>
      <c r="G1016" s="4"/>
      <c r="H1016" s="4"/>
      <c r="I1016" s="4"/>
      <c r="J1016" s="4"/>
      <c r="K1016" s="4"/>
      <c r="L1016" s="4"/>
      <c r="M1016" s="4"/>
      <c r="N1016" s="9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4.25" customHeight="1">
      <c r="A1017" s="4"/>
      <c r="B1017" s="4"/>
      <c r="C1017" s="4"/>
      <c r="D1017" s="4"/>
      <c r="E1017" s="68"/>
      <c r="F1017" s="4"/>
      <c r="G1017" s="4"/>
      <c r="H1017" s="4"/>
      <c r="I1017" s="4"/>
      <c r="J1017" s="4"/>
      <c r="K1017" s="4"/>
      <c r="L1017" s="4"/>
      <c r="M1017" s="4"/>
      <c r="N1017" s="9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4.25" customHeight="1">
      <c r="A1018" s="4"/>
      <c r="B1018" s="4"/>
      <c r="C1018" s="4"/>
      <c r="D1018" s="4"/>
      <c r="E1018" s="68"/>
      <c r="F1018" s="4"/>
      <c r="G1018" s="4"/>
      <c r="H1018" s="4"/>
      <c r="I1018" s="4"/>
      <c r="J1018" s="4"/>
      <c r="K1018" s="4"/>
      <c r="L1018" s="4"/>
      <c r="M1018" s="4"/>
      <c r="N1018" s="9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4.25" customHeight="1">
      <c r="A1019" s="4"/>
      <c r="B1019" s="4"/>
      <c r="C1019" s="4"/>
      <c r="D1019" s="4"/>
      <c r="E1019" s="68"/>
      <c r="F1019" s="4"/>
      <c r="G1019" s="4"/>
      <c r="H1019" s="4"/>
      <c r="I1019" s="4"/>
      <c r="J1019" s="4"/>
      <c r="K1019" s="4"/>
      <c r="L1019" s="4"/>
      <c r="M1019" s="4"/>
      <c r="N1019" s="9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4.25" customHeight="1">
      <c r="A1020" s="4"/>
      <c r="B1020" s="4"/>
      <c r="C1020" s="4"/>
      <c r="D1020" s="4"/>
      <c r="E1020" s="68"/>
      <c r="F1020" s="4"/>
      <c r="G1020" s="4"/>
      <c r="H1020" s="4"/>
      <c r="I1020" s="4"/>
      <c r="J1020" s="4"/>
      <c r="K1020" s="4"/>
      <c r="L1020" s="4"/>
      <c r="M1020" s="4"/>
      <c r="N1020" s="9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4.25" customHeight="1">
      <c r="A1021" s="4"/>
      <c r="B1021" s="4"/>
      <c r="C1021" s="4"/>
      <c r="D1021" s="4"/>
      <c r="E1021" s="68"/>
      <c r="F1021" s="4"/>
      <c r="G1021" s="4"/>
      <c r="H1021" s="4"/>
      <c r="I1021" s="4"/>
      <c r="J1021" s="4"/>
      <c r="K1021" s="4"/>
      <c r="L1021" s="4"/>
      <c r="M1021" s="4"/>
      <c r="N1021" s="9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4.25" customHeight="1">
      <c r="A1022" s="4"/>
      <c r="B1022" s="4"/>
      <c r="C1022" s="4"/>
      <c r="D1022" s="4"/>
      <c r="E1022" s="68"/>
      <c r="F1022" s="4"/>
      <c r="G1022" s="4"/>
      <c r="H1022" s="4"/>
      <c r="I1022" s="4"/>
      <c r="J1022" s="4"/>
      <c r="K1022" s="4"/>
      <c r="L1022" s="4"/>
      <c r="M1022" s="4"/>
      <c r="N1022" s="9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4.25" customHeight="1">
      <c r="A1023" s="4"/>
      <c r="B1023" s="4"/>
      <c r="C1023" s="4"/>
      <c r="D1023" s="4"/>
      <c r="E1023" s="68"/>
      <c r="F1023" s="4"/>
      <c r="G1023" s="4"/>
      <c r="H1023" s="4"/>
      <c r="I1023" s="4"/>
      <c r="J1023" s="4"/>
      <c r="K1023" s="4"/>
      <c r="L1023" s="4"/>
      <c r="M1023" s="4"/>
      <c r="N1023" s="9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4.25" customHeight="1">
      <c r="A1024" s="4"/>
      <c r="B1024" s="4"/>
      <c r="C1024" s="4"/>
      <c r="D1024" s="4"/>
      <c r="E1024" s="68"/>
      <c r="F1024" s="4"/>
      <c r="G1024" s="4"/>
      <c r="H1024" s="4"/>
      <c r="I1024" s="4"/>
      <c r="J1024" s="4"/>
      <c r="K1024" s="4"/>
      <c r="L1024" s="4"/>
      <c r="M1024" s="4"/>
      <c r="N1024" s="9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4.25" customHeight="1">
      <c r="A1025" s="4"/>
      <c r="B1025" s="4"/>
      <c r="C1025" s="4"/>
      <c r="D1025" s="4"/>
      <c r="E1025" s="68"/>
      <c r="F1025" s="4"/>
      <c r="G1025" s="4"/>
      <c r="H1025" s="4"/>
      <c r="I1025" s="4"/>
      <c r="J1025" s="4"/>
      <c r="K1025" s="4"/>
      <c r="L1025" s="4"/>
      <c r="M1025" s="4"/>
      <c r="N1025" s="9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4.25" customHeight="1">
      <c r="A1026" s="4"/>
      <c r="B1026" s="4"/>
      <c r="C1026" s="4"/>
      <c r="D1026" s="4"/>
      <c r="E1026" s="68"/>
      <c r="F1026" s="4"/>
      <c r="G1026" s="4"/>
      <c r="H1026" s="4"/>
      <c r="I1026" s="4"/>
      <c r="J1026" s="4"/>
      <c r="K1026" s="4"/>
      <c r="L1026" s="4"/>
      <c r="M1026" s="4"/>
      <c r="N1026" s="9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4.25" customHeight="1">
      <c r="A1027" s="4"/>
      <c r="B1027" s="4"/>
      <c r="C1027" s="4"/>
      <c r="D1027" s="4"/>
      <c r="E1027" s="68"/>
      <c r="F1027" s="4"/>
      <c r="G1027" s="4"/>
      <c r="H1027" s="4"/>
      <c r="I1027" s="4"/>
      <c r="J1027" s="4"/>
      <c r="K1027" s="4"/>
      <c r="L1027" s="4"/>
      <c r="M1027" s="4"/>
      <c r="N1027" s="9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4.25" customHeight="1">
      <c r="A1028" s="4"/>
      <c r="B1028" s="4"/>
      <c r="C1028" s="4"/>
      <c r="D1028" s="4"/>
      <c r="E1028" s="68"/>
      <c r="F1028" s="4"/>
      <c r="G1028" s="4"/>
      <c r="H1028" s="4"/>
      <c r="I1028" s="4"/>
      <c r="J1028" s="4"/>
      <c r="K1028" s="4"/>
      <c r="L1028" s="4"/>
      <c r="M1028" s="4"/>
      <c r="N1028" s="9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4.25" customHeight="1">
      <c r="A1029" s="4"/>
      <c r="B1029" s="4"/>
      <c r="C1029" s="4"/>
      <c r="D1029" s="4"/>
      <c r="E1029" s="68"/>
      <c r="F1029" s="4"/>
      <c r="G1029" s="4"/>
      <c r="H1029" s="4"/>
      <c r="I1029" s="4"/>
      <c r="J1029" s="4"/>
      <c r="K1029" s="4"/>
      <c r="L1029" s="4"/>
      <c r="M1029" s="4"/>
      <c r="N1029" s="9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</sheetData>
  <autoFilter ref="A4:AC104"/>
  <mergeCells count="2">
    <mergeCell ref="M3:O3"/>
    <mergeCell ref="P3:R3"/>
  </mergeCells>
  <phoneticPr fontId="35" type="noConversion"/>
  <pageMargins left="0.511811024" right="0.511811024" top="0.78740157499999996" bottom="0.78740157499999996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30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I7" sqref="I7"/>
    </sheetView>
  </sheetViews>
  <sheetFormatPr defaultColWidth="14.42578125" defaultRowHeight="15" customHeight="1" outlineLevelCol="1"/>
  <cols>
    <col min="1" max="1" width="3.140625" customWidth="1"/>
    <col min="2" max="2" width="14.140625" hidden="1" customWidth="1" outlineLevel="1"/>
    <col min="3" max="3" width="13.85546875" hidden="1" customWidth="1" outlineLevel="1"/>
    <col min="4" max="4" width="8.5703125" hidden="1" customWidth="1" outlineLevel="1"/>
    <col min="5" max="5" width="8.5703125" customWidth="1" collapsed="1"/>
    <col min="6" max="6" width="12.5703125" customWidth="1"/>
    <col min="7" max="7" width="12.140625" customWidth="1"/>
    <col min="8" max="8" width="7.42578125" customWidth="1"/>
    <col min="9" max="9" width="52.85546875" customWidth="1"/>
    <col min="10" max="10" width="12.5703125" customWidth="1"/>
    <col min="11" max="12" width="10.85546875" customWidth="1"/>
    <col min="13" max="13" width="11.140625" customWidth="1"/>
    <col min="14" max="14" width="9.140625" customWidth="1"/>
    <col min="15" max="15" width="11.42578125" customWidth="1"/>
    <col min="16" max="16" width="10.42578125" customWidth="1"/>
    <col min="17" max="17" width="12.140625" customWidth="1"/>
    <col min="18" max="18" width="8.85546875" customWidth="1"/>
    <col min="19" max="19" width="10.140625" customWidth="1"/>
    <col min="20" max="21" width="11.140625" customWidth="1"/>
    <col min="22" max="23" width="9.85546875" customWidth="1"/>
    <col min="24" max="24" width="12.140625" customWidth="1"/>
    <col min="25" max="25" width="9.85546875" customWidth="1"/>
    <col min="26" max="27" width="10.42578125" customWidth="1"/>
    <col min="28" max="29" width="14.85546875" customWidth="1"/>
    <col min="30" max="30" width="16.5703125" customWidth="1"/>
    <col min="31" max="31" width="14.85546875" customWidth="1"/>
    <col min="32" max="33" width="8.85546875" customWidth="1"/>
  </cols>
  <sheetData>
    <row r="1" spans="1:33" ht="14.25" customHeight="1">
      <c r="A1" s="4"/>
      <c r="B1" s="4"/>
      <c r="C1" s="4"/>
      <c r="D1" s="62" t="s">
        <v>25</v>
      </c>
      <c r="E1" s="62">
        <v>1</v>
      </c>
      <c r="F1" s="62">
        <v>2</v>
      </c>
      <c r="G1" s="4">
        <v>3</v>
      </c>
      <c r="H1" s="4">
        <v>4</v>
      </c>
      <c r="I1" s="4">
        <v>5</v>
      </c>
      <c r="J1" s="30">
        <v>6</v>
      </c>
      <c r="K1" s="30">
        <v>7</v>
      </c>
      <c r="L1" s="30">
        <v>8</v>
      </c>
      <c r="M1" s="4">
        <v>9</v>
      </c>
      <c r="N1" s="4">
        <v>10</v>
      </c>
      <c r="O1" s="4">
        <v>11</v>
      </c>
      <c r="P1" s="4">
        <v>12</v>
      </c>
      <c r="Q1" s="4">
        <v>13</v>
      </c>
      <c r="R1" s="4">
        <v>14</v>
      </c>
      <c r="S1" s="62">
        <v>15</v>
      </c>
      <c r="T1" s="62">
        <v>16</v>
      </c>
      <c r="U1" s="4">
        <v>17</v>
      </c>
      <c r="V1" s="4">
        <v>18</v>
      </c>
      <c r="W1" s="4">
        <v>19</v>
      </c>
      <c r="X1" s="30">
        <v>20</v>
      </c>
      <c r="Y1" s="30">
        <v>21</v>
      </c>
      <c r="Z1" s="30">
        <v>22</v>
      </c>
      <c r="AA1" s="4">
        <v>23</v>
      </c>
      <c r="AB1" s="4">
        <v>24</v>
      </c>
      <c r="AC1" s="4">
        <v>25</v>
      </c>
      <c r="AD1" s="4">
        <v>26</v>
      </c>
      <c r="AE1" s="4">
        <v>27</v>
      </c>
      <c r="AF1" s="4"/>
      <c r="AG1" s="4"/>
    </row>
    <row r="2" spans="1:33" ht="14.25" customHeight="1">
      <c r="A2" s="4"/>
      <c r="B2" s="4"/>
      <c r="C2" s="4"/>
      <c r="D2" s="4"/>
      <c r="E2" s="4"/>
      <c r="F2" s="4"/>
      <c r="G2" s="4"/>
      <c r="H2" s="4"/>
      <c r="I2" s="4"/>
      <c r="J2" s="30"/>
      <c r="K2" s="30"/>
      <c r="L2" s="30"/>
      <c r="M2" s="68"/>
      <c r="N2" s="35"/>
      <c r="O2" s="68"/>
      <c r="P2" s="4"/>
      <c r="Q2" s="53" t="s">
        <v>147</v>
      </c>
      <c r="R2" s="53" t="s">
        <v>147</v>
      </c>
      <c r="S2" s="53" t="s">
        <v>148</v>
      </c>
      <c r="T2" s="53" t="s">
        <v>149</v>
      </c>
      <c r="U2" s="53" t="s">
        <v>149</v>
      </c>
      <c r="V2" s="53" t="s">
        <v>150</v>
      </c>
      <c r="W2" s="53" t="s">
        <v>151</v>
      </c>
      <c r="X2" s="53" t="s">
        <v>152</v>
      </c>
      <c r="Y2" s="53" t="s">
        <v>153</v>
      </c>
      <c r="Z2" s="63" t="s">
        <v>154</v>
      </c>
      <c r="AA2" s="63" t="s">
        <v>155</v>
      </c>
      <c r="AB2" s="63" t="s">
        <v>156</v>
      </c>
      <c r="AC2" s="63" t="s">
        <v>42</v>
      </c>
      <c r="AD2" s="63" t="s">
        <v>157</v>
      </c>
      <c r="AE2" s="63"/>
      <c r="AF2" s="4"/>
      <c r="AG2" s="56" t="s">
        <v>42</v>
      </c>
    </row>
    <row r="3" spans="1:33" ht="29.25" customHeight="1">
      <c r="A3" s="54"/>
      <c r="B3" s="54" t="s">
        <v>127</v>
      </c>
      <c r="C3" s="54" t="s">
        <v>158</v>
      </c>
      <c r="D3" s="52" t="s">
        <v>159</v>
      </c>
      <c r="E3" s="52" t="s">
        <v>160</v>
      </c>
      <c r="F3" s="52" t="s">
        <v>35</v>
      </c>
      <c r="G3" s="52" t="s">
        <v>36</v>
      </c>
      <c r="H3" s="52" t="s">
        <v>35</v>
      </c>
      <c r="I3" s="52" t="s">
        <v>133</v>
      </c>
      <c r="J3" s="52" t="s">
        <v>36</v>
      </c>
      <c r="K3" s="138" t="s">
        <v>161</v>
      </c>
      <c r="L3" s="138" t="s">
        <v>162</v>
      </c>
      <c r="M3" s="138" t="s">
        <v>134</v>
      </c>
      <c r="N3" s="138" t="s">
        <v>66</v>
      </c>
      <c r="O3" s="138" t="s">
        <v>163</v>
      </c>
      <c r="P3" s="53" t="s">
        <v>127</v>
      </c>
      <c r="Q3" s="53" t="s">
        <v>164</v>
      </c>
      <c r="R3" s="53" t="s">
        <v>137</v>
      </c>
      <c r="S3" s="53" t="s">
        <v>165</v>
      </c>
      <c r="T3" s="53" t="s">
        <v>117</v>
      </c>
      <c r="U3" s="53" t="s">
        <v>165</v>
      </c>
      <c r="V3" s="53"/>
      <c r="W3" s="53"/>
      <c r="X3" s="53" t="s">
        <v>166</v>
      </c>
      <c r="Y3" s="53" t="s">
        <v>167</v>
      </c>
      <c r="Z3" s="63"/>
      <c r="AA3" s="63"/>
      <c r="AB3" s="63"/>
      <c r="AC3" s="63"/>
      <c r="AD3" s="63"/>
      <c r="AE3" s="63"/>
      <c r="AF3" s="54"/>
      <c r="AG3" s="139"/>
    </row>
    <row r="4" spans="1:33" ht="14.25" customHeight="1">
      <c r="A4" s="4"/>
      <c r="B4" s="4" t="str">
        <f t="shared" ref="B4:B20" si="0">H4&amp;K4</f>
        <v>1.002/2026</v>
      </c>
      <c r="C4" s="4" t="str">
        <f t="shared" ref="C4:C19" si="1">F4&amp;L4</f>
        <v>Usina 101/2026</v>
      </c>
      <c r="D4" s="108">
        <f t="shared" ref="D4:D19" si="2">IF(J4=G4,0,1)</f>
        <v>0</v>
      </c>
      <c r="E4" s="108" t="str">
        <f>IF(D4=0,"N/A",SUM($D4:D$83))</f>
        <v>N/A</v>
      </c>
      <c r="F4" s="108" t="s">
        <v>49</v>
      </c>
      <c r="G4" s="56">
        <f>VLOOKUP(F4,Cad.Usinas!$A$4:$B$6,2,FALSE)</f>
        <v>3023633492</v>
      </c>
      <c r="H4" s="109" t="s">
        <v>114</v>
      </c>
      <c r="I4" s="59" t="str">
        <f>VLOOKUP(H4,Cad.RateioConsumo!$B$4:$Z$106,2,FALSE)</f>
        <v>Usina 1</v>
      </c>
      <c r="J4" s="140">
        <f>VLOOKUP(H4,Cad.RateioConsumo!$B$4:$Z$106,5,FALSE)</f>
        <v>3023633492</v>
      </c>
      <c r="K4" s="141" t="s">
        <v>298</v>
      </c>
      <c r="L4" s="141" t="s">
        <v>286</v>
      </c>
      <c r="M4" s="111">
        <f>VLOOKUP(H4,Cad.RateioConsumo!$B$4:$Z$106,7,FALSE)</f>
        <v>14000</v>
      </c>
      <c r="N4" s="86">
        <f>ROUND(VLOOKUP(H4,Cad.RateioConsumo!$B$4:$Z$106,11,FALSE),4)</f>
        <v>0.3201</v>
      </c>
      <c r="O4" s="142">
        <f>IFERROR(ROUND(VLOOKUP(C4,Hist.Geração!$A$4:$F$64,4,FALSE)*N4,2)," ")</f>
        <v>3730.77</v>
      </c>
      <c r="P4" s="142">
        <f>IFERROR(VLOOKUP(B4,Hist.Consum!$B$5:$V$120,12,FALSE),"")</f>
        <v>0</v>
      </c>
      <c r="Q4" s="143">
        <f>IFERROR(VLOOKUP(B4,Hist.Consum!$B$5:$V$120,15,FALSE),"")</f>
        <v>0</v>
      </c>
      <c r="R4" s="144">
        <f>IFERROR(VLOOKUP(B4,Hist.Consum!$B$5:$W$120,22,FALSE),"")</f>
        <v>0.84319999999999995</v>
      </c>
      <c r="S4" s="145">
        <f t="shared" ref="S4:S14" si="3">IFERROR(Q4*R4,"")</f>
        <v>0</v>
      </c>
      <c r="T4" s="143" t="str">
        <f>VLOOKUP(K4,Hist.BT!$A$4:$C$127,3,FALSE)</f>
        <v>Verde</v>
      </c>
      <c r="U4" s="145">
        <f>IFERROR(ROUND(VLOOKUP(T4,Hist.BT!$G$3:$I$6,3,FALSE)*Q4,2),"")</f>
        <v>0</v>
      </c>
      <c r="V4" s="145">
        <f t="shared" ref="V4:V14" si="4">IFERROR(ROUND(SUM(S4+U4)*(1-AG4),2),"")</f>
        <v>0</v>
      </c>
      <c r="W4" s="145">
        <f t="shared" ref="W4:W14" si="5">S4+U4-V4</f>
        <v>0</v>
      </c>
      <c r="X4" s="145">
        <f t="shared" ref="X4:X14" si="6">O4-Q4</f>
        <v>3730.77</v>
      </c>
      <c r="Y4" s="145">
        <f>SUMIF($J4:J$84,J4,$X4:X$84)</f>
        <v>37788.769999999997</v>
      </c>
      <c r="Z4" s="146"/>
      <c r="AA4" s="146"/>
      <c r="AB4" s="146">
        <f>SUMIF(J4:$J$84,J4,Q4:$Q$84)</f>
        <v>0</v>
      </c>
      <c r="AC4" s="146">
        <f>IFERROR(VLOOKUP(B4,Hist.Consum!$B$5:$AD$120,23,FALSE),"")</f>
        <v>0</v>
      </c>
      <c r="AD4" s="146"/>
      <c r="AE4" s="146">
        <f>IFERROR(VLOOKUP(B4,Hist.Consum!$B$5:$AD$120,24,FALSE),"")</f>
        <v>0</v>
      </c>
      <c r="AF4" s="4"/>
      <c r="AG4" s="147">
        <f>VLOOKUP(H4,Cad.RateioConsumo!$B$4:$Z$106,8,FALSE)</f>
        <v>0.15</v>
      </c>
    </row>
    <row r="5" spans="1:33" ht="14.25" customHeight="1">
      <c r="A5" s="4"/>
      <c r="B5" s="4" t="str">
        <f t="shared" si="0"/>
        <v>2.102/2026</v>
      </c>
      <c r="C5" s="4" t="str">
        <f t="shared" si="1"/>
        <v>Usina 201/2026</v>
      </c>
      <c r="D5" s="108">
        <f t="shared" si="2"/>
        <v>1</v>
      </c>
      <c r="E5" s="108">
        <f>IF(D5=0,"N/A",SUM($D5:D$83))</f>
        <v>49</v>
      </c>
      <c r="F5" s="108" t="s">
        <v>53</v>
      </c>
      <c r="G5" s="56">
        <f>VLOOKUP(F5,Cad.Usinas!$A$4:$B$6,2,FALSE)</f>
        <v>3023594470</v>
      </c>
      <c r="H5" s="109" t="s">
        <v>103</v>
      </c>
      <c r="I5" s="59" t="str">
        <f>VLOOKUP(H5,Cad.RateioConsumo!$B$4:$Z$106,2,FALSE)</f>
        <v>Lucas Medeiros Lima</v>
      </c>
      <c r="J5" s="140">
        <f>VLOOKUP(H5,Cad.RateioConsumo!$B$4:$Z$106,5,FALSE)</f>
        <v>3002796782</v>
      </c>
      <c r="K5" s="141" t="s">
        <v>298</v>
      </c>
      <c r="L5" s="141" t="s">
        <v>286</v>
      </c>
      <c r="M5" s="111">
        <f>VLOOKUP(H5,Cad.RateioConsumo!$B$4:$Z$106,7,FALSE)</f>
        <v>1536.5</v>
      </c>
      <c r="N5" s="86">
        <f>ROUND(VLOOKUP(H5,Cad.RateioConsumo!$B$4:$Z$106,11,FALSE),4)</f>
        <v>0.10979999999999999</v>
      </c>
      <c r="O5" s="142">
        <f>IFERROR(ROUND(VLOOKUP(C5,Hist.Geração!$A$4:$F$64,4,FALSE)*N5,2)," ")</f>
        <v>1534.35</v>
      </c>
      <c r="P5" s="142">
        <f>IFERROR(VLOOKUP(B5,Hist.Consum!$B$5:$V$120,12,FALSE),"")</f>
        <v>80</v>
      </c>
      <c r="Q5" s="143">
        <f>IFERROR(VLOOKUP(B5,Hist.Consum!$B$5:$V$120,15,FALSE),"")</f>
        <v>499</v>
      </c>
      <c r="R5" s="144">
        <f>IFERROR(VLOOKUP(B5,Hist.Consum!$B$5:$W$120,22,FALSE),"")</f>
        <v>0.84319999999999995</v>
      </c>
      <c r="S5" s="145">
        <f t="shared" si="3"/>
        <v>420.7568</v>
      </c>
      <c r="T5" s="143" t="str">
        <f>VLOOKUP(K5,Hist.BT!$A$4:$C$127,3,FALSE)</f>
        <v>Verde</v>
      </c>
      <c r="U5" s="145">
        <f>IFERROR(ROUND(VLOOKUP(T5,Hist.BT!$G$3:$I$6,3,FALSE)*Q5,2),"")</f>
        <v>0</v>
      </c>
      <c r="V5" s="145">
        <f t="shared" si="4"/>
        <v>357.64</v>
      </c>
      <c r="W5" s="145">
        <f t="shared" si="5"/>
        <v>63.116800000000012</v>
      </c>
      <c r="X5" s="145">
        <f t="shared" si="6"/>
        <v>1035.3499999999999</v>
      </c>
      <c r="Y5" s="145" t="e">
        <f>SUMIF($J5:J$84,J5,$X5:X$84)</f>
        <v>#VALUE!</v>
      </c>
      <c r="Z5" s="146"/>
      <c r="AA5" s="146"/>
      <c r="AB5" s="146"/>
      <c r="AC5" s="146">
        <f>IFERROR(VLOOKUP(B5,Hist.Consum!$B$5:$AD$120,23,FALSE),"")</f>
        <v>175.78</v>
      </c>
      <c r="AD5" s="149" t="s">
        <v>168</v>
      </c>
      <c r="AE5" s="68" t="str">
        <f>IFERROR(VLOOKUP(B5,Hist.Consum!$B$5:$AD$120,24,FALSE),"")</f>
        <v>A Equatorial errou no faturamento e cobrou indevidamente uma tarifa adicional:1)Benefício Tarifário Bruto SCEE e 2) (-) Benefício Tarifário Líquido SCEE . O saldo deste valor foi dado como desconto para não te afetar os 15% de desconto na conta até que a Equatorial reverter esse valor.</v>
      </c>
      <c r="AF5" s="4"/>
      <c r="AG5" s="147">
        <f>VLOOKUP(H5,Cad.RateioConsumo!$B$4:$Z$106,8,FALSE)</f>
        <v>0.15</v>
      </c>
    </row>
    <row r="6" spans="1:33" ht="14.25" customHeight="1">
      <c r="A6" s="4"/>
      <c r="B6" s="4" t="str">
        <f t="shared" si="0"/>
        <v>2.202/2026</v>
      </c>
      <c r="C6" s="4" t="str">
        <f t="shared" si="1"/>
        <v>Usina 201/2026</v>
      </c>
      <c r="D6" s="108">
        <f t="shared" si="2"/>
        <v>1</v>
      </c>
      <c r="E6" s="108">
        <f>IF(D6=0,"N/A",SUM($D6:D$83))</f>
        <v>48</v>
      </c>
      <c r="F6" s="108" t="s">
        <v>53</v>
      </c>
      <c r="G6" s="56">
        <f>VLOOKUP(F6,Cad.Usinas!$A$4:$B$6,2,FALSE)</f>
        <v>3023594470</v>
      </c>
      <c r="H6" s="109" t="s">
        <v>108</v>
      </c>
      <c r="I6" s="59" t="str">
        <f>VLOOKUP(H6,Cad.RateioConsumo!$B$4:$Z$106,2,FALSE)</f>
        <v>SORRISO SAUDE ODONTOLOGIA LTDA</v>
      </c>
      <c r="J6" s="140">
        <f>VLOOKUP(H6,Cad.RateioConsumo!$B$4:$Z$106,5,FALSE)</f>
        <v>3022893768</v>
      </c>
      <c r="K6" s="141" t="s">
        <v>298</v>
      </c>
      <c r="L6" s="141" t="s">
        <v>286</v>
      </c>
      <c r="M6" s="111">
        <f>VLOOKUP(H6,Cad.RateioConsumo!$B$4:$Z$106,7,FALSE)</f>
        <v>859</v>
      </c>
      <c r="N6" s="86">
        <f>ROUND(VLOOKUP(H6,Cad.RateioConsumo!$B$4:$Z$106,11,FALSE),4)</f>
        <v>6.1400000000000003E-2</v>
      </c>
      <c r="O6" s="142">
        <f>IFERROR(ROUND(VLOOKUP(C6,Hist.Geração!$A$4:$F$64,4,FALSE)*N6,2)," ")</f>
        <v>858</v>
      </c>
      <c r="P6" s="142" t="str">
        <f>IFERROR(VLOOKUP(B6,Hist.Consum!$B$5:$V$120,12,FALSE),"")</f>
        <v/>
      </c>
      <c r="Q6" s="143" t="str">
        <f>IFERROR(VLOOKUP(B6,Hist.Consum!$B$5:$V$120,15,FALSE),"")</f>
        <v/>
      </c>
      <c r="R6" s="144" t="str">
        <f>IFERROR(VLOOKUP(B6,Hist.Consum!$B$5:$W$120,22,FALSE),"")</f>
        <v/>
      </c>
      <c r="S6" s="145" t="str">
        <f t="shared" si="3"/>
        <v/>
      </c>
      <c r="T6" s="143" t="str">
        <f>VLOOKUP(K6,Hist.BT!$A$4:$C$127,3,FALSE)</f>
        <v>Verde</v>
      </c>
      <c r="U6" s="145" t="str">
        <f>IFERROR(ROUND(VLOOKUP(T6,Hist.BT!$G$3:$I$6,3,FALSE)*Q6,2),"")</f>
        <v/>
      </c>
      <c r="V6" s="145" t="str">
        <f t="shared" si="4"/>
        <v/>
      </c>
      <c r="W6" s="145" t="e">
        <f t="shared" si="5"/>
        <v>#VALUE!</v>
      </c>
      <c r="X6" s="145" t="e">
        <f t="shared" si="6"/>
        <v>#VALUE!</v>
      </c>
      <c r="Y6" s="145" t="e">
        <f>SUMIF($J6:J$84,J6,$X6:X$84)</f>
        <v>#VALUE!</v>
      </c>
      <c r="Z6" s="146"/>
      <c r="AA6" s="146"/>
      <c r="AB6" s="146"/>
      <c r="AC6" s="146" t="str">
        <f>IFERROR(VLOOKUP(B6,Hist.Consum!$B$5:$AD$120,23,FALSE),"")</f>
        <v/>
      </c>
      <c r="AD6" s="149" t="s">
        <v>168</v>
      </c>
      <c r="AE6" s="68" t="str">
        <f>IFERROR(VLOOKUP(B6,Hist.Consum!$B$5:$AD$120,24,FALSE),"")</f>
        <v/>
      </c>
      <c r="AF6" s="4"/>
      <c r="AG6" s="147">
        <f>VLOOKUP(H6,Cad.RateioConsumo!$B$4:$Z$106,8,FALSE)</f>
        <v>0.17</v>
      </c>
    </row>
    <row r="7" spans="1:33" ht="14.25" customHeight="1">
      <c r="A7" s="4"/>
      <c r="B7" s="4" t="str">
        <f t="shared" ref="B7:B8" si="7">H7&amp;K7</f>
        <v>2.302/2027</v>
      </c>
      <c r="C7" s="4" t="str">
        <f t="shared" ref="C7:C8" si="8">F7&amp;L7</f>
        <v>Usina 201/2026</v>
      </c>
      <c r="D7" s="108">
        <f t="shared" ref="D7:D8" si="9">IF(J7=G7,0,1)</f>
        <v>1</v>
      </c>
      <c r="E7" s="108">
        <f>IF(D7=0,"N/A",SUM($D7:D$83))</f>
        <v>47</v>
      </c>
      <c r="F7" s="108" t="s">
        <v>53</v>
      </c>
      <c r="G7" s="56">
        <f>VLOOKUP(F7,Cad.Usinas!$A$4:$B$6,2,FALSE)</f>
        <v>3023594470</v>
      </c>
      <c r="H7" s="109" t="s">
        <v>302</v>
      </c>
      <c r="I7" s="274" t="str">
        <f>VLOOKUP(H7,Cad.RateioConsumo!$B$4:$Z$106,2,FALSE)</f>
        <v>José de Ribamar Aguiar Costa (Zeca)</v>
      </c>
      <c r="J7" s="140">
        <f>VLOOKUP(H7,Cad.RateioConsumo!$B$4:$Z$106,5,FALSE)</f>
        <v>3005806061</v>
      </c>
      <c r="K7" s="141" t="s">
        <v>310</v>
      </c>
      <c r="L7" s="141" t="s">
        <v>286</v>
      </c>
      <c r="M7" s="111">
        <f>VLOOKUP(H7,Cad.RateioConsumo!$B$4:$Z$106,7,FALSE)</f>
        <v>172.38461538461539</v>
      </c>
      <c r="N7" s="86">
        <f>ROUND(VLOOKUP(H7,Cad.RateioConsumo!$B$4:$Z$106,11,FALSE),4)</f>
        <v>1.23E-2</v>
      </c>
      <c r="O7" s="142">
        <f>IFERROR(ROUND(VLOOKUP(C7,Hist.Geração!$A$4:$F$64,4,FALSE)*N7,2)," ")</f>
        <v>171.88</v>
      </c>
      <c r="P7" s="142" t="str">
        <f>IFERROR(VLOOKUP(B7,Hist.Consum!$B$5:$V$120,12,FALSE),"")</f>
        <v/>
      </c>
      <c r="Q7" s="143" t="str">
        <f>IFERROR(VLOOKUP(B7,Hist.Consum!$B$5:$V$120,15,FALSE),"")</f>
        <v/>
      </c>
      <c r="R7" s="144" t="str">
        <f>IFERROR(VLOOKUP(B7,Hist.Consum!$B$5:$W$120,22,FALSE),"")</f>
        <v/>
      </c>
      <c r="S7" s="145" t="str">
        <f t="shared" ref="S7:S8" si="10">IFERROR(Q7*R7,"")</f>
        <v/>
      </c>
      <c r="T7" s="143" t="e">
        <f>VLOOKUP(K7,Hist.BT!$A$4:$C$127,3,FALSE)</f>
        <v>#N/A</v>
      </c>
      <c r="U7" s="145" t="str">
        <f>IFERROR(ROUND(VLOOKUP(T7,Hist.BT!$G$3:$I$6,3,FALSE)*Q7,2),"")</f>
        <v/>
      </c>
      <c r="V7" s="145" t="str">
        <f t="shared" ref="V7:V8" si="11">IFERROR(ROUND(SUM(S7+U7)*(1-AG7),2),"")</f>
        <v/>
      </c>
      <c r="W7" s="145" t="e">
        <f t="shared" ref="W7:W8" si="12">S7+U7-V7</f>
        <v>#VALUE!</v>
      </c>
      <c r="X7" s="145" t="e">
        <f t="shared" ref="X7:X8" si="13">O7-Q7</f>
        <v>#VALUE!</v>
      </c>
      <c r="Y7" s="145" t="e">
        <f>SUMIF($J7:J$84,J7,$X7:X$84)</f>
        <v>#VALUE!</v>
      </c>
      <c r="Z7" s="146"/>
      <c r="AA7" s="146"/>
      <c r="AB7" s="146"/>
      <c r="AC7" s="146" t="str">
        <f>IFERROR(VLOOKUP(B7,Hist.Consum!$B$5:$AD$120,23,FALSE),"")</f>
        <v/>
      </c>
      <c r="AD7" s="149" t="s">
        <v>312</v>
      </c>
      <c r="AE7" s="68" t="str">
        <f>IFERROR(VLOOKUP(B7,Hist.Consum!$B$5:$AD$120,24,FALSE),"")</f>
        <v/>
      </c>
      <c r="AF7" s="4"/>
      <c r="AG7" s="147">
        <f>VLOOKUP(H7,Cad.RateioConsumo!$B$4:$Z$106,8,FALSE)</f>
        <v>0.15</v>
      </c>
    </row>
    <row r="8" spans="1:33" ht="14.25" customHeight="1">
      <c r="A8" s="4"/>
      <c r="B8" s="4" t="str">
        <f t="shared" si="7"/>
        <v>2.402/2028</v>
      </c>
      <c r="C8" s="4" t="str">
        <f t="shared" si="8"/>
        <v>Usina 201/2028</v>
      </c>
      <c r="D8" s="108">
        <f t="shared" si="9"/>
        <v>1</v>
      </c>
      <c r="E8" s="108">
        <f>IF(D8=0,"N/A",SUM($D8:D$83))</f>
        <v>46</v>
      </c>
      <c r="F8" s="108" t="s">
        <v>53</v>
      </c>
      <c r="G8" s="56">
        <f>VLOOKUP(F8,Cad.Usinas!$A$4:$B$6,2,FALSE)</f>
        <v>3023594470</v>
      </c>
      <c r="H8" s="109" t="s">
        <v>306</v>
      </c>
      <c r="I8" s="59" t="str">
        <f>VLOOKUP(H8,Cad.RateioConsumo!$B$4:$Z$106,2,FALSE)</f>
        <v>Fernando Fonseca Diniz  (Andre TVN)</v>
      </c>
      <c r="J8" s="140">
        <f>VLOOKUP(H8,Cad.RateioConsumo!$B$4:$Z$106,5,FALSE)</f>
        <v>3022544461</v>
      </c>
      <c r="K8" s="141" t="s">
        <v>311</v>
      </c>
      <c r="L8" s="141" t="s">
        <v>313</v>
      </c>
      <c r="M8" s="111">
        <f>VLOOKUP(H8,Cad.RateioConsumo!$B$4:$Z$106,7,FALSE)</f>
        <v>241.125</v>
      </c>
      <c r="N8" s="86">
        <f>ROUND(VLOOKUP(H8,Cad.RateioConsumo!$B$4:$Z$106,11,FALSE),4)</f>
        <v>1.72E-2</v>
      </c>
      <c r="O8" s="142" t="str">
        <f>IFERROR(ROUND(VLOOKUP(C8,Hist.Geração!$A$4:$F$64,4,FALSE)*N8,2)," ")</f>
        <v xml:space="preserve"> </v>
      </c>
      <c r="P8" s="142" t="str">
        <f>IFERROR(VLOOKUP(B8,Hist.Consum!$B$5:$V$120,12,FALSE),"")</f>
        <v/>
      </c>
      <c r="Q8" s="143" t="str">
        <f>IFERROR(VLOOKUP(B8,Hist.Consum!$B$5:$V$120,15,FALSE),"")</f>
        <v/>
      </c>
      <c r="R8" s="144" t="str">
        <f>IFERROR(VLOOKUP(B8,Hist.Consum!$B$5:$W$120,22,FALSE),"")</f>
        <v/>
      </c>
      <c r="S8" s="145" t="str">
        <f t="shared" si="10"/>
        <v/>
      </c>
      <c r="T8" s="143" t="e">
        <f>VLOOKUP(K8,Hist.BT!$A$4:$C$127,3,FALSE)</f>
        <v>#N/A</v>
      </c>
      <c r="U8" s="145" t="str">
        <f>IFERROR(ROUND(VLOOKUP(T8,Hist.BT!$G$3:$I$6,3,FALSE)*Q8,2),"")</f>
        <v/>
      </c>
      <c r="V8" s="145" t="str">
        <f t="shared" si="11"/>
        <v/>
      </c>
      <c r="W8" s="145" t="e">
        <f t="shared" si="12"/>
        <v>#VALUE!</v>
      </c>
      <c r="X8" s="145" t="e">
        <f t="shared" si="13"/>
        <v>#VALUE!</v>
      </c>
      <c r="Y8" s="145" t="e">
        <f>SUMIF($J8:J$84,J8,$X8:X$84)</f>
        <v>#VALUE!</v>
      </c>
      <c r="Z8" s="146"/>
      <c r="AA8" s="146"/>
      <c r="AB8" s="146"/>
      <c r="AC8" s="146" t="str">
        <f>IFERROR(VLOOKUP(B8,Hist.Consum!$B$5:$AD$120,23,FALSE),"")</f>
        <v/>
      </c>
      <c r="AD8" s="149" t="s">
        <v>314</v>
      </c>
      <c r="AE8" s="68" t="str">
        <f>IFERROR(VLOOKUP(B8,Hist.Consum!$B$5:$AD$120,24,FALSE),"")</f>
        <v/>
      </c>
      <c r="AF8" s="4"/>
      <c r="AG8" s="147">
        <f>VLOOKUP(H8,Cad.RateioConsumo!$B$4:$Z$106,8,FALSE)</f>
        <v>0.15</v>
      </c>
    </row>
    <row r="9" spans="1:33" ht="14.25" customHeight="1">
      <c r="A9" s="4"/>
      <c r="B9" s="4" t="str">
        <f t="shared" si="0"/>
        <v>2.002/2026</v>
      </c>
      <c r="C9" s="4" t="str">
        <f t="shared" si="1"/>
        <v>Usina 201/2026</v>
      </c>
      <c r="D9" s="108">
        <f t="shared" si="2"/>
        <v>0</v>
      </c>
      <c r="E9" s="108" t="str">
        <f>IF(D9=0,"N/A",SUM($D9:D$83))</f>
        <v>N/A</v>
      </c>
      <c r="F9" s="108" t="s">
        <v>53</v>
      </c>
      <c r="G9" s="56">
        <f>VLOOKUP(F9,Cad.Usinas!$A$4:$B$6,2,FALSE)</f>
        <v>3023594470</v>
      </c>
      <c r="H9" s="109" t="s">
        <v>113</v>
      </c>
      <c r="I9" s="59" t="str">
        <f>VLOOKUP(H9,Cad.RateioConsumo!$B$4:$Z$106,2,FALSE)</f>
        <v>Usina 2</v>
      </c>
      <c r="J9" s="140">
        <f>VLOOKUP(H9,Cad.RateioConsumo!$B$4:$Z$106,5,FALSE)</f>
        <v>3023594470</v>
      </c>
      <c r="K9" s="141" t="s">
        <v>298</v>
      </c>
      <c r="L9" s="141" t="s">
        <v>286</v>
      </c>
      <c r="M9" s="111">
        <f>VLOOKUP(H9,Cad.RateioConsumo!$B$4:$Z$106,7,FALSE)</f>
        <v>14000</v>
      </c>
      <c r="N9" s="86">
        <f>VLOOKUP(H9,Cad.RateioConsumo!$B$4:$Z$106,11,FALSE)</f>
        <v>1</v>
      </c>
      <c r="O9" s="142">
        <f>IFERROR(ROUND(VLOOKUP(C9,Hist.Geração!$A$4:$F$64,4,FALSE)*N9,2)," ")</f>
        <v>13974</v>
      </c>
      <c r="P9" s="142">
        <f>IFERROR(VLOOKUP(B9,Hist.Consum!$B$5:$V$120,12,FALSE),"")</f>
        <v>0</v>
      </c>
      <c r="Q9" s="143">
        <f>IFERROR(VLOOKUP(B9,Hist.Consum!$B$5:$V$120,15,FALSE),"")</f>
        <v>0</v>
      </c>
      <c r="R9" s="144">
        <f>IFERROR(VLOOKUP(B9,Hist.Consum!$B$5:$W$120,22,FALSE),"")</f>
        <v>0.84319999999999995</v>
      </c>
      <c r="S9" s="145">
        <f t="shared" si="3"/>
        <v>0</v>
      </c>
      <c r="T9" s="143" t="str">
        <f>VLOOKUP(K9,Hist.BT!$A$4:$C$127,3,FALSE)</f>
        <v>Verde</v>
      </c>
      <c r="U9" s="145">
        <f>IFERROR(ROUND(VLOOKUP(T9,Hist.BT!$G$3:$I$6,3,FALSE)*Q9,2),"")</f>
        <v>0</v>
      </c>
      <c r="V9" s="145">
        <f t="shared" si="4"/>
        <v>0</v>
      </c>
      <c r="W9" s="145">
        <f t="shared" si="5"/>
        <v>0</v>
      </c>
      <c r="X9" s="145">
        <f t="shared" si="6"/>
        <v>13974</v>
      </c>
      <c r="Y9" s="145">
        <f>SUMIF($J9:J$84,J9,$X9:X$84)</f>
        <v>125336</v>
      </c>
      <c r="Z9" s="146"/>
      <c r="AA9" s="146"/>
      <c r="AB9" s="146">
        <f>SUMIF($J9:J$84,J9,$Q9:Q$84)</f>
        <v>0</v>
      </c>
      <c r="AC9" s="146">
        <f>IFERROR(VLOOKUP(B9,Hist.Consum!$B$5:$AD$120,23,FALSE),"")</f>
        <v>0</v>
      </c>
      <c r="AD9" s="146"/>
      <c r="AE9" s="146"/>
      <c r="AF9" s="4"/>
      <c r="AG9" s="147">
        <f>VLOOKUP(H9,Cad.RateioConsumo!$B$4:$Z$106,8,FALSE)</f>
        <v>0.15</v>
      </c>
    </row>
    <row r="10" spans="1:33" ht="14.25" customHeight="1">
      <c r="A10" s="4"/>
      <c r="B10" s="4" t="str">
        <f t="shared" si="0"/>
        <v>3.102/2026</v>
      </c>
      <c r="C10" s="4" t="str">
        <f t="shared" si="1"/>
        <v>Usina 301/2026</v>
      </c>
      <c r="D10" s="108">
        <f t="shared" si="2"/>
        <v>1</v>
      </c>
      <c r="E10" s="108">
        <f>IF(D10=0,"N/A",SUM($D10:D$83))</f>
        <v>45</v>
      </c>
      <c r="F10" s="108" t="s">
        <v>57</v>
      </c>
      <c r="G10" s="56">
        <f>VLOOKUP(F10,Cad.Usinas!$A$4:$B$6,2,FALSE)</f>
        <v>3023637013</v>
      </c>
      <c r="H10" s="109" t="s">
        <v>70</v>
      </c>
      <c r="I10" s="59" t="str">
        <f>VLOOKUP(H10,Cad.RateioConsumo!$B$4:$Z$106,2,FALSE)</f>
        <v>Associação dos Moradores do Residencial Araçagy</v>
      </c>
      <c r="J10" s="140">
        <f>VLOOKUP(H10,Cad.RateioConsumo!$B$4:$Z$106,5,FALSE)</f>
        <v>3021142432</v>
      </c>
      <c r="K10" s="141" t="s">
        <v>298</v>
      </c>
      <c r="L10" s="141" t="s">
        <v>286</v>
      </c>
      <c r="M10" s="151">
        <f>VLOOKUP(H10,Cad.RateioConsumo!$B$4:$Z$106,7,FALSE)</f>
        <v>205.36363636363637</v>
      </c>
      <c r="N10" s="86">
        <f>ROUND(VLOOKUP(H10,Cad.RateioConsumo!$B$4:$Z$106,11,FALSE),4)</f>
        <v>1.47E-2</v>
      </c>
      <c r="O10" s="142">
        <f>IFERROR(ROUND(VLOOKUP(C10,Hist.Geração!$A$4:$F$64,4,FALSE)*N10,2)," ")</f>
        <v>204.15</v>
      </c>
      <c r="P10" s="142">
        <f>IFERROR(VLOOKUP(B10,Hist.Consum!$B$5:$V$120,12,FALSE),"")</f>
        <v>100</v>
      </c>
      <c r="Q10" s="143">
        <f>IFERROR(VLOOKUP(B10,Hist.Consum!$B$5:$V$120,15,FALSE),"")</f>
        <v>108.87</v>
      </c>
      <c r="R10" s="144">
        <f>IFERROR(VLOOKUP(B10,Hist.Consum!$B$5:$W$120,22,FALSE),"")</f>
        <v>1.1286</v>
      </c>
      <c r="S10" s="145">
        <f t="shared" si="3"/>
        <v>122.87068200000002</v>
      </c>
      <c r="T10" s="143" t="str">
        <f>VLOOKUP(K10,Hist.BT!$A$4:$C$127,3,FALSE)</f>
        <v>Verde</v>
      </c>
      <c r="U10" s="145">
        <f>IFERROR(ROUND(VLOOKUP(T10,Hist.BT!$G$3:$I$6,3,FALSE)*Q10,2),"")</f>
        <v>0</v>
      </c>
      <c r="V10" s="145">
        <f t="shared" si="4"/>
        <v>104.44</v>
      </c>
      <c r="W10" s="145">
        <f t="shared" si="5"/>
        <v>18.430682000000019</v>
      </c>
      <c r="X10" s="145">
        <f t="shared" si="6"/>
        <v>95.28</v>
      </c>
      <c r="Y10" s="145">
        <f>SUMIF($J10:J$84,J10,$X10:X$84)</f>
        <v>366.59000000000003</v>
      </c>
      <c r="Z10" s="146">
        <f>Y10/M10</f>
        <v>1.7850774679061532</v>
      </c>
      <c r="AA10" s="146"/>
      <c r="AB10" s="146">
        <f>SUMIF($J10:J$84,J10,$Q10:Q$84)</f>
        <v>761.09</v>
      </c>
      <c r="AC10" s="146">
        <f>IFERROR(VLOOKUP(B10,Hist.Consum!$B$5:$AD$120,23,FALSE),"")</f>
        <v>0</v>
      </c>
      <c r="AD10" s="149" t="s">
        <v>288</v>
      </c>
      <c r="AE10" s="68"/>
      <c r="AF10" s="4"/>
      <c r="AG10" s="147">
        <f>VLOOKUP(H10,Cad.RateioConsumo!$B$4:$Z$106,8,FALSE)</f>
        <v>0.15</v>
      </c>
    </row>
    <row r="11" spans="1:33" ht="14.25" customHeight="1">
      <c r="A11" s="4"/>
      <c r="B11" s="4" t="str">
        <f t="shared" si="0"/>
        <v>3.202/2026</v>
      </c>
      <c r="C11" s="4" t="str">
        <f t="shared" si="1"/>
        <v>Usina 301/2026</v>
      </c>
      <c r="D11" s="108">
        <f t="shared" si="2"/>
        <v>1</v>
      </c>
      <c r="E11" s="108">
        <f>IF(D11=0,"N/A",SUM($D11:D$83))</f>
        <v>44</v>
      </c>
      <c r="F11" s="108" t="s">
        <v>57</v>
      </c>
      <c r="G11" s="56">
        <f>VLOOKUP(F11,Cad.Usinas!$A$4:$B$6,2,FALSE)</f>
        <v>3023637013</v>
      </c>
      <c r="H11" s="109" t="s">
        <v>75</v>
      </c>
      <c r="I11" s="59" t="str">
        <f>VLOOKUP(H11,Cad.RateioConsumo!$B$4:$Z$106,2,FALSE)</f>
        <v>Associação dos Moradores do Residencial Araçagy</v>
      </c>
      <c r="J11" s="140">
        <f>VLOOKUP(H11,Cad.RateioConsumo!$B$4:$Z$106,5,FALSE)</f>
        <v>3021149593</v>
      </c>
      <c r="K11" s="141" t="s">
        <v>298</v>
      </c>
      <c r="L11" s="141" t="s">
        <v>286</v>
      </c>
      <c r="M11" s="111">
        <f>VLOOKUP(H11,Cad.RateioConsumo!$B$4:$Z$106,7,FALSE)</f>
        <v>734.33333333333337</v>
      </c>
      <c r="N11" s="86">
        <f>ROUND(VLOOKUP(H11,Cad.RateioConsumo!$B$4:$Z$106,11,FALSE),4)</f>
        <v>5.2499999999999998E-2</v>
      </c>
      <c r="O11" s="142">
        <f>IFERROR(ROUND(VLOOKUP(C11,Hist.Geração!$A$4:$F$64,4,FALSE)*N11,2)," ")</f>
        <v>729.12</v>
      </c>
      <c r="P11" s="142">
        <f>IFERROR(VLOOKUP(B11,Hist.Consum!$B$5:$V$120,12,FALSE),"")</f>
        <v>219.41</v>
      </c>
      <c r="Q11" s="143">
        <f>IFERROR(VLOOKUP(B11,Hist.Consum!$B$5:$V$120,15,FALSE),"")</f>
        <v>818.35</v>
      </c>
      <c r="R11" s="144">
        <f>IFERROR(VLOOKUP(B11,Hist.Consum!$B$5:$W$120,22,FALSE),"")</f>
        <v>1.1286</v>
      </c>
      <c r="S11" s="145">
        <f t="shared" si="3"/>
        <v>923.58981000000006</v>
      </c>
      <c r="T11" s="143" t="str">
        <f>VLOOKUP(K11,Hist.BT!$A$4:$C$127,3,FALSE)</f>
        <v>Verde</v>
      </c>
      <c r="U11" s="145">
        <f>IFERROR(ROUND(VLOOKUP(T11,Hist.BT!$G$3:$I$6,3,FALSE)*Q11,2),"")</f>
        <v>0</v>
      </c>
      <c r="V11" s="145">
        <f t="shared" si="4"/>
        <v>785.05</v>
      </c>
      <c r="W11" s="145">
        <f t="shared" si="5"/>
        <v>138.5398100000001</v>
      </c>
      <c r="X11" s="145">
        <f t="shared" si="6"/>
        <v>-89.230000000000018</v>
      </c>
      <c r="Y11" s="145">
        <f>SUMIF($J11:J$84,J11,$X11:X$84)</f>
        <v>2.9999999999981597E-2</v>
      </c>
      <c r="Z11" s="146"/>
      <c r="AA11" s="146"/>
      <c r="AB11" s="146">
        <f>SUMIF($J11:J$84,J11,$Q11:Q$84)</f>
        <v>4027.39</v>
      </c>
      <c r="AC11" s="146">
        <f>IFERROR(VLOOKUP(B11,Hist.Consum!$B$5:$AD$120,23,FALSE),"")</f>
        <v>0</v>
      </c>
      <c r="AD11" s="149"/>
      <c r="AE11" s="68"/>
      <c r="AF11" s="4"/>
      <c r="AG11" s="147">
        <f>VLOOKUP(H11,Cad.RateioConsumo!$B$4:$Z$106,8,FALSE)</f>
        <v>0.15</v>
      </c>
    </row>
    <row r="12" spans="1:33" ht="14.25" customHeight="1">
      <c r="A12" s="4"/>
      <c r="B12" s="4" t="str">
        <f t="shared" si="0"/>
        <v>3.302/2026</v>
      </c>
      <c r="C12" s="4" t="str">
        <f t="shared" si="1"/>
        <v>Usina 301/2026</v>
      </c>
      <c r="D12" s="108">
        <f t="shared" si="2"/>
        <v>1</v>
      </c>
      <c r="E12" s="108">
        <f>IF(D12=0,"N/A",SUM($D12:D$83))</f>
        <v>43</v>
      </c>
      <c r="F12" s="108" t="s">
        <v>57</v>
      </c>
      <c r="G12" s="56">
        <f>VLOOKUP(F12,Cad.Usinas!$A$4:$B$6,2,FALSE)</f>
        <v>3023637013</v>
      </c>
      <c r="H12" s="109" t="s">
        <v>77</v>
      </c>
      <c r="I12" s="59" t="str">
        <f>VLOOKUP(H12,Cad.RateioConsumo!$B$4:$Z$106,2,FALSE)</f>
        <v>Associação dos Moradores do Residencial Araçagy</v>
      </c>
      <c r="J12" s="140">
        <f>VLOOKUP(H12,Cad.RateioConsumo!$B$4:$Z$106,5,FALSE)</f>
        <v>3021150559</v>
      </c>
      <c r="K12" s="141" t="s">
        <v>298</v>
      </c>
      <c r="L12" s="141" t="s">
        <v>286</v>
      </c>
      <c r="M12" s="111">
        <f>VLOOKUP(H12,Cad.RateioConsumo!$B$4:$Z$106,7,FALSE)</f>
        <v>2086.4545454545455</v>
      </c>
      <c r="N12" s="86">
        <f>ROUND(VLOOKUP(H12,Cad.RateioConsumo!$B$4:$Z$106,11,FALSE),4)</f>
        <v>0.107</v>
      </c>
      <c r="O12" s="142">
        <f>IFERROR(ROUND(VLOOKUP(C12,Hist.Geração!$A$4:$F$64,4,FALSE)*N12,2)," ")</f>
        <v>1486.02</v>
      </c>
      <c r="P12" s="142">
        <f>IFERROR(VLOOKUP(B12,Hist.Consum!$B$5:$V$120,12,FALSE),"")</f>
        <v>309.27</v>
      </c>
      <c r="Q12" s="143">
        <f>IFERROR(VLOOKUP(B12,Hist.Consum!$B$5:$V$120,15,FALSE),"")</f>
        <v>1487.4</v>
      </c>
      <c r="R12" s="144">
        <f>IFERROR(VLOOKUP(B12,Hist.Consum!$B$5:$W$120,22,FALSE),"")</f>
        <v>1.1286</v>
      </c>
      <c r="S12" s="145">
        <f t="shared" si="3"/>
        <v>1678.6796400000001</v>
      </c>
      <c r="T12" s="143" t="str">
        <f>VLOOKUP(K12,Hist.BT!$A$4:$C$127,3,FALSE)</f>
        <v>Verde</v>
      </c>
      <c r="U12" s="145">
        <f>IFERROR(ROUND(VLOOKUP(T12,Hist.BT!$G$3:$I$6,3,FALSE)*Q12,2),"")</f>
        <v>0</v>
      </c>
      <c r="V12" s="145">
        <f t="shared" si="4"/>
        <v>1426.88</v>
      </c>
      <c r="W12" s="145">
        <f t="shared" si="5"/>
        <v>251.79963999999995</v>
      </c>
      <c r="X12" s="145">
        <f t="shared" si="6"/>
        <v>-1.3800000000001091</v>
      </c>
      <c r="Y12" s="145">
        <f>SUMIF($J12:J$84,J12,$X12:X$84)</f>
        <v>-4.3500000000001364</v>
      </c>
      <c r="Z12" s="146"/>
      <c r="AA12" s="146"/>
      <c r="AB12" s="146">
        <f>SUMIF($J12:J$84,J12,$Q12:Q$84)</f>
        <v>9584.64</v>
      </c>
      <c r="AC12" s="146">
        <f>IFERROR(VLOOKUP(B12,Hist.Consum!$B$5:$AD$120,23,FALSE),"")</f>
        <v>0</v>
      </c>
      <c r="AD12" s="149" t="s">
        <v>289</v>
      </c>
      <c r="AE12" s="68"/>
      <c r="AF12" s="4"/>
      <c r="AG12" s="147">
        <f>VLOOKUP(H12,Cad.RateioConsumo!$B$4:$Z$106,8,FALSE)</f>
        <v>0.15</v>
      </c>
    </row>
    <row r="13" spans="1:33" ht="14.25" customHeight="1">
      <c r="A13" s="4"/>
      <c r="B13" s="4" t="str">
        <f t="shared" si="0"/>
        <v>3.402/2026</v>
      </c>
      <c r="C13" s="4" t="str">
        <f t="shared" si="1"/>
        <v>Usina 301/2026</v>
      </c>
      <c r="D13" s="108">
        <f t="shared" si="2"/>
        <v>1</v>
      </c>
      <c r="E13" s="108">
        <f>IF(D13=0,"N/A",SUM($D13:D$83))</f>
        <v>42</v>
      </c>
      <c r="F13" s="108" t="s">
        <v>57</v>
      </c>
      <c r="G13" s="56">
        <f>VLOOKUP(F13,Cad.Usinas!$A$4:$B$6,2,FALSE)</f>
        <v>3023637013</v>
      </c>
      <c r="H13" s="109" t="s">
        <v>82</v>
      </c>
      <c r="I13" s="59" t="str">
        <f>VLOOKUP(H13,Cad.RateioConsumo!$B$4:$Z$106,2,FALSE)</f>
        <v>Antonio Jose Souza Filho</v>
      </c>
      <c r="J13" s="140">
        <f>VLOOKUP(H13,Cad.RateioConsumo!$B$4:$Z$106,5,FALSE)</f>
        <v>3007625048</v>
      </c>
      <c r="K13" s="141" t="s">
        <v>298</v>
      </c>
      <c r="L13" s="141" t="s">
        <v>286</v>
      </c>
      <c r="M13" s="111">
        <f>VLOOKUP(H13,Cad.RateioConsumo!$B$4:$Z$106,7,FALSE)</f>
        <v>417.15384615384613</v>
      </c>
      <c r="N13" s="86">
        <f>ROUND(VLOOKUP(H13,Cad.RateioConsumo!$B$4:$Z$106,11,FALSE),4)</f>
        <v>2.98E-2</v>
      </c>
      <c r="O13" s="142">
        <f>IFERROR(ROUND(VLOOKUP(C13,Hist.Geração!$A$4:$F$64,4,FALSE)*N13,2)," ")</f>
        <v>413.86</v>
      </c>
      <c r="P13" s="142">
        <f>IFERROR(VLOOKUP(B13,Hist.Consum!$B$5:$V$120,12,FALSE),"")</f>
        <v>79.13</v>
      </c>
      <c r="Q13" s="143">
        <f>IFERROR(VLOOKUP(B13,Hist.Consum!$B$5:$V$120,15,FALSE),"")</f>
        <v>413.86</v>
      </c>
      <c r="R13" s="144">
        <f>IFERROR(VLOOKUP(B13,Hist.Consum!$B$5:$W$120,22,FALSE),"")</f>
        <v>1.1286</v>
      </c>
      <c r="S13" s="145">
        <f t="shared" si="3"/>
        <v>467.08239600000002</v>
      </c>
      <c r="T13" s="143" t="str">
        <f>VLOOKUP(K13,Hist.BT!$A$4:$C$127,3,FALSE)</f>
        <v>Verde</v>
      </c>
      <c r="U13" s="145">
        <f>IFERROR(ROUND(VLOOKUP(T13,Hist.BT!$G$3:$I$6,3,FALSE)*Q13,2),"")</f>
        <v>0</v>
      </c>
      <c r="V13" s="145">
        <f t="shared" si="4"/>
        <v>397.02</v>
      </c>
      <c r="W13" s="145">
        <f t="shared" si="5"/>
        <v>70.062396000000035</v>
      </c>
      <c r="X13" s="145">
        <f t="shared" si="6"/>
        <v>0</v>
      </c>
      <c r="Y13" s="145">
        <f>SUMIF($J13:J$84,J13,$X13:X$84)</f>
        <v>8.5265128291212022E-14</v>
      </c>
      <c r="Z13" s="146"/>
      <c r="AA13" s="146"/>
      <c r="AB13" s="146">
        <f>SUMIF($J13:J$84,J13,$Q13:Q$84)</f>
        <v>2286.0300000000002</v>
      </c>
      <c r="AC13" s="146">
        <f>IFERROR(VLOOKUP(B13,Hist.Consum!$B$5:$AD$120,23,FALSE),"")</f>
        <v>0</v>
      </c>
      <c r="AD13" s="149"/>
      <c r="AE13" s="68"/>
      <c r="AF13" s="4"/>
      <c r="AG13" s="147">
        <f>VLOOKUP(H13,Cad.RateioConsumo!$B$4:$Z$106,8,FALSE)</f>
        <v>0.15</v>
      </c>
    </row>
    <row r="14" spans="1:33" ht="14.25" customHeight="1">
      <c r="A14" s="4"/>
      <c r="B14" s="4" t="str">
        <f t="shared" si="0"/>
        <v>3.501/2026</v>
      </c>
      <c r="C14" s="4" t="str">
        <f t="shared" si="1"/>
        <v>Usina 312/2025</v>
      </c>
      <c r="D14" s="108">
        <f t="shared" si="2"/>
        <v>1</v>
      </c>
      <c r="E14" s="108">
        <f>IF(D14=0,"N/A",SUM($D14:D$83))</f>
        <v>41</v>
      </c>
      <c r="F14" s="108" t="s">
        <v>57</v>
      </c>
      <c r="G14" s="56">
        <f>VLOOKUP(F14,Cad.Usinas!$A$4:$B$6,2,FALSE)</f>
        <v>3023637013</v>
      </c>
      <c r="H14" s="109" t="s">
        <v>87</v>
      </c>
      <c r="I14" s="59" t="str">
        <f>VLOOKUP(H14,Cad.RateioConsumo!$B$4:$Z$106,2,FALSE)</f>
        <v>João Carlos Pereira Dutra Filho</v>
      </c>
      <c r="J14" s="140">
        <f>VLOOKUP(H14,Cad.RateioConsumo!$B$4:$Z$106,5,FALSE)</f>
        <v>1163310</v>
      </c>
      <c r="K14" s="141" t="s">
        <v>286</v>
      </c>
      <c r="L14" s="141" t="s">
        <v>143</v>
      </c>
      <c r="M14" s="111">
        <f>VLOOKUP(H14,Cad.RateioConsumo!$B$4:$Z$106,7,FALSE)</f>
        <v>848.69230769230774</v>
      </c>
      <c r="N14" s="86">
        <f>ROUND(VLOOKUP(H14,Cad.RateioConsumo!$B$4:$Z$106,11,FALSE),4)</f>
        <v>6.0600000000000001E-2</v>
      </c>
      <c r="O14" s="142">
        <f>IFERROR(ROUND(VLOOKUP(C14,Hist.Geração!$A$4:$F$64,4,FALSE)*N14,2)," ")</f>
        <v>865.13</v>
      </c>
      <c r="P14" s="142">
        <f>IFERROR(VLOOKUP(B14,Hist.Consum!$B$5:$V$120,12,FALSE),"")</f>
        <v>30</v>
      </c>
      <c r="Q14" s="143">
        <f>IFERROR(VLOOKUP(B14,Hist.Consum!$B$5:$V$120,15,FALSE),"")</f>
        <v>937</v>
      </c>
      <c r="R14" s="144">
        <f>IFERROR(VLOOKUP(B14,Hist.Consum!$B$5:$W$120,22,FALSE),"")</f>
        <v>1.1286</v>
      </c>
      <c r="S14" s="145">
        <f t="shared" si="3"/>
        <v>1057.4982</v>
      </c>
      <c r="T14" s="143" t="str">
        <f>VLOOKUP(K14,Hist.BT!$A$4:$C$127,3,FALSE)</f>
        <v>Verde</v>
      </c>
      <c r="U14" s="145">
        <f>IFERROR(ROUND(VLOOKUP(T14,Hist.BT!$G$3:$I$6,3,FALSE)*Q14,2),"")</f>
        <v>0</v>
      </c>
      <c r="V14" s="145">
        <f t="shared" si="4"/>
        <v>898.87</v>
      </c>
      <c r="W14" s="145">
        <f t="shared" si="5"/>
        <v>158.62819999999999</v>
      </c>
      <c r="X14" s="145">
        <f t="shared" si="6"/>
        <v>-71.87</v>
      </c>
      <c r="Y14" s="145">
        <f>SUMIF(J4:$J$84,J14,X4:$X$84)</f>
        <v>16.039999999999971</v>
      </c>
      <c r="Z14" s="146"/>
      <c r="AA14" s="146"/>
      <c r="AB14" s="146">
        <f>SUMIF(J4:$J$84,J14,Q4:$Q$84)</f>
        <v>1811.52</v>
      </c>
      <c r="AC14" s="146">
        <f>IFERROR(VLOOKUP(B14,Hist.Consum!$B$5:$AD$120,23,FALSE),"")</f>
        <v>0</v>
      </c>
      <c r="AD14" s="146" t="str">
        <f>IF((Y14/M14)&gt;1,"Mudar Urgente",IF((Y14/M14)&gt;0.4,"Rever Rateio",("ok")))</f>
        <v>ok</v>
      </c>
      <c r="AE14" s="146"/>
      <c r="AF14" s="4"/>
      <c r="AG14" s="147">
        <f>VLOOKUP(H14,Cad.RateioConsumo!$B$4:$Z$106,8,FALSE)</f>
        <v>0.15</v>
      </c>
    </row>
    <row r="15" spans="1:33" ht="14.25" customHeight="1">
      <c r="A15" s="4"/>
      <c r="B15" s="4" t="str">
        <f t="shared" ref="B15" si="14">H15&amp;K15</f>
        <v>3.801/2026</v>
      </c>
      <c r="C15" s="4" t="str">
        <f t="shared" ref="C15" si="15">F15&amp;L15</f>
        <v>Usina 312/2025</v>
      </c>
      <c r="D15" s="108">
        <f t="shared" ref="D15" si="16">IF(J15=G15,0,1)</f>
        <v>1</v>
      </c>
      <c r="E15" s="108">
        <f>IF(D15=0,"N/A",SUM($D15:D$83))</f>
        <v>40</v>
      </c>
      <c r="F15" s="108" t="s">
        <v>57</v>
      </c>
      <c r="G15" s="56">
        <f>VLOOKUP(F15,Cad.Usinas!$A$4:$B$6,2,FALSE)</f>
        <v>3023637013</v>
      </c>
      <c r="H15" s="109" t="s">
        <v>268</v>
      </c>
      <c r="I15" s="59" t="str">
        <f>VLOOKUP(H15,Cad.RateioConsumo!$B$4:$Z$106,2,FALSE)</f>
        <v>Ana Maria Marques De Brito</v>
      </c>
      <c r="J15" s="140">
        <f>VLOOKUP(H15,Cad.RateioConsumo!$B$4:$Z$106,5,FALSE)</f>
        <v>3020257082</v>
      </c>
      <c r="K15" s="141" t="s">
        <v>286</v>
      </c>
      <c r="L15" s="141" t="s">
        <v>143</v>
      </c>
      <c r="M15" s="111">
        <f>VLOOKUP(H15,Cad.RateioConsumo!$B$4:$Z$106,7,FALSE)</f>
        <v>1193</v>
      </c>
      <c r="N15" s="86">
        <f>ROUND(VLOOKUP(H15,Cad.RateioConsumo!$B$4:$Z$106,11,FALSE),4)</f>
        <v>8.5199999999999998E-2</v>
      </c>
      <c r="O15" s="142">
        <f>IFERROR(ROUND(VLOOKUP(C15,Hist.Geração!$A$4:$F$64,4,FALSE)*N15,2)," ")</f>
        <v>1216.32</v>
      </c>
      <c r="P15" s="142">
        <f>IFERROR(VLOOKUP(B15,Hist.Consum!$B$5:$V$120,12,FALSE),"")</f>
        <v>1225</v>
      </c>
      <c r="Q15" s="143">
        <f>IFERROR(VLOOKUP(B15,Hist.Consum!$B$5:$V$120,15,FALSE),"")</f>
        <v>0</v>
      </c>
      <c r="R15" s="144">
        <f>IFERROR(VLOOKUP(B15,Hist.Consum!$B$5:$W$120,22,FALSE),"")</f>
        <v>1.1284000000000001</v>
      </c>
      <c r="S15" s="145">
        <f t="shared" ref="S15" si="17">IFERROR(Q15*R15,"")</f>
        <v>0</v>
      </c>
      <c r="T15" s="143" t="str">
        <f>VLOOKUP(K15,Hist.BT!$A$4:$C$127,3,FALSE)</f>
        <v>Verde</v>
      </c>
      <c r="U15" s="145">
        <f>IFERROR(ROUND(VLOOKUP(T15,Hist.BT!$G$3:$I$6,3,FALSE)*Q15,2),"")</f>
        <v>0</v>
      </c>
      <c r="V15" s="145">
        <f t="shared" ref="V15" si="18">IFERROR(ROUND(SUM(S15+U15)*(1-AG15),2),"")</f>
        <v>0</v>
      </c>
      <c r="W15" s="145">
        <f t="shared" ref="W15" si="19">S15+U15-V15</f>
        <v>0</v>
      </c>
      <c r="X15" s="145">
        <f t="shared" ref="X15" si="20">O15-Q15</f>
        <v>1216.32</v>
      </c>
      <c r="Y15" s="145">
        <f>SUMIF(J5:$J$84,J15,X5:$X$84)</f>
        <v>1216.32</v>
      </c>
      <c r="Z15" s="146"/>
      <c r="AA15" s="146"/>
      <c r="AB15" s="146">
        <f>SUMIF(J5:$J$84,J15,Q5:$Q$84)</f>
        <v>0</v>
      </c>
      <c r="AC15" s="146">
        <f>IFERROR(VLOOKUP(B15,Hist.Consum!$B$5:$AD$120,23,FALSE),"")</f>
        <v>5.6999999999973738E-5</v>
      </c>
      <c r="AD15" s="146" t="str">
        <f>IF((Y15/M15)&gt;1,"Mudar Urgente",IF((Y15/M15)&gt;0.4,"Rever Rateio",("ok")))</f>
        <v>Mudar Urgente</v>
      </c>
      <c r="AE15" s="146"/>
      <c r="AF15" s="4"/>
      <c r="AG15" s="147">
        <f>VLOOKUP(H15,Cad.RateioConsumo!$B$4:$Z$106,8,FALSE)</f>
        <v>0.15</v>
      </c>
    </row>
    <row r="16" spans="1:33" ht="14.25" customHeight="1">
      <c r="A16" s="4"/>
      <c r="B16" s="4" t="str">
        <f t="shared" si="0"/>
        <v>3.601/2026</v>
      </c>
      <c r="C16" s="4" t="str">
        <f t="shared" si="1"/>
        <v>Usina 312/2025</v>
      </c>
      <c r="D16" s="108">
        <f t="shared" si="2"/>
        <v>1</v>
      </c>
      <c r="E16" s="108">
        <f>IF(D16=0,"N/A",SUM($D16:D$83))</f>
        <v>39</v>
      </c>
      <c r="F16" s="108" t="s">
        <v>57</v>
      </c>
      <c r="G16" s="56">
        <f>VLOOKUP(F16,Cad.Usinas!$A$4:$B$6,2,FALSE)</f>
        <v>3023637013</v>
      </c>
      <c r="H16" s="109" t="s">
        <v>92</v>
      </c>
      <c r="I16" s="59" t="str">
        <f>VLOOKUP(H16,Cad.RateioConsumo!$B$4:$Z$106,2,FALSE)</f>
        <v>Patricia Maria Abreu Machado</v>
      </c>
      <c r="J16" s="140">
        <f>VLOOKUP(H16,Cad.RateioConsumo!$B$4:$Z$106,5,FALSE)</f>
        <v>3006793931</v>
      </c>
      <c r="K16" s="141" t="s">
        <v>286</v>
      </c>
      <c r="L16" s="141" t="s">
        <v>143</v>
      </c>
      <c r="M16" s="111">
        <f>VLOOKUP(H16,Cad.RateioConsumo!$B$4:$Z$106,7,FALSE)</f>
        <v>776.76923076923072</v>
      </c>
      <c r="N16" s="86">
        <f>ROUND(VLOOKUP(H16,Cad.RateioConsumo!$B$4:$Z$106,11,FALSE),4)</f>
        <v>5.5500000000000001E-2</v>
      </c>
      <c r="O16" s="142">
        <f>IFERROR(ROUND(VLOOKUP(C16,Hist.Geração!$A$4:$F$64,4,FALSE)*N16,2)," ")</f>
        <v>792.32</v>
      </c>
      <c r="P16" s="142">
        <f>IFERROR(VLOOKUP(B16,Hist.Consum!$B$5:$V$120,12,FALSE),"")</f>
        <v>100</v>
      </c>
      <c r="Q16" s="143">
        <f>IFERROR(VLOOKUP(B16,Hist.Consum!$B$5:$V$120,15,FALSE),"")</f>
        <v>713</v>
      </c>
      <c r="R16" s="144">
        <f>IFERROR(VLOOKUP(B16,Hist.Consum!$B$5:$W$120,22,FALSE),"")</f>
        <v>1.1286</v>
      </c>
      <c r="S16" s="145">
        <f t="shared" ref="S16:S17" si="21">IFERROR(Q16*R16,"")</f>
        <v>804.69180000000006</v>
      </c>
      <c r="T16" s="143" t="str">
        <f>VLOOKUP(K16,Hist.BT!$A$4:$C$127,3,FALSE)</f>
        <v>Verde</v>
      </c>
      <c r="U16" s="145">
        <f>IFERROR(ROUND(VLOOKUP(T16,Hist.BT!$G$3:$I$6,3,FALSE)*Q16,2),"")</f>
        <v>0</v>
      </c>
      <c r="V16" s="145">
        <f t="shared" ref="V16:V17" si="22">IFERROR(ROUND(SUM(S16+U16)*(1-AG16),2),"")</f>
        <v>683.99</v>
      </c>
      <c r="W16" s="145">
        <f t="shared" ref="W16:W17" si="23">S16+U16-V16</f>
        <v>120.70180000000005</v>
      </c>
      <c r="X16" s="145">
        <f t="shared" ref="X16:X17" si="24">O16-Q16</f>
        <v>79.32000000000005</v>
      </c>
      <c r="Y16" s="145">
        <f>SUMIF(J5:$J$84,J16,X5:$X$84)</f>
        <v>158.6400000000001</v>
      </c>
      <c r="Z16" s="146"/>
      <c r="AA16" s="146"/>
      <c r="AB16" s="146"/>
      <c r="AC16" s="146"/>
      <c r="AD16" s="146"/>
      <c r="AE16" s="68"/>
      <c r="AF16" s="4"/>
      <c r="AG16" s="147">
        <f>VLOOKUP(H16,Cad.RateioConsumo!$B$4:$Z$106,8,FALSE)</f>
        <v>0.15</v>
      </c>
    </row>
    <row r="17" spans="1:33" ht="14.25" customHeight="1">
      <c r="A17" s="4"/>
      <c r="B17" s="4" t="str">
        <f t="shared" si="0"/>
        <v>3.701/2026</v>
      </c>
      <c r="C17" s="4" t="str">
        <f t="shared" si="1"/>
        <v>Usina 312/2025</v>
      </c>
      <c r="D17" s="108">
        <f t="shared" si="2"/>
        <v>1</v>
      </c>
      <c r="E17" s="108">
        <f>IF(D17=0,"N/A",SUM($D17:D$83))</f>
        <v>38</v>
      </c>
      <c r="F17" s="108" t="s">
        <v>57</v>
      </c>
      <c r="G17" s="56">
        <f>VLOOKUP(F17,Cad.Usinas!$A$4:$B$6,2,FALSE)</f>
        <v>3023637013</v>
      </c>
      <c r="H17" s="109" t="s">
        <v>96</v>
      </c>
      <c r="I17" s="59" t="str">
        <f>VLOOKUP(H17,Cad.RateioConsumo!$B$4:$Z$106,2,FALSE)</f>
        <v>Fatima Abdel Hafiz Khalifa Cavalcanti</v>
      </c>
      <c r="J17" s="140">
        <f>VLOOKUP(H17,Cad.RateioConsumo!$B$4:$Z$106,5,FALSE)</f>
        <v>38398091</v>
      </c>
      <c r="K17" s="141" t="s">
        <v>286</v>
      </c>
      <c r="L17" s="141" t="s">
        <v>143</v>
      </c>
      <c r="M17" s="111">
        <f>VLOOKUP(H17,Cad.RateioConsumo!$B$4:$Z$106,7,FALSE)</f>
        <v>1013.3846153846154</v>
      </c>
      <c r="N17" s="86">
        <f>ROUND(VLOOKUP(H17,Cad.RateioConsumo!$B$4:$Z$106,11,FALSE),4)</f>
        <v>7.2400000000000006E-2</v>
      </c>
      <c r="O17" s="142">
        <f>IFERROR(ROUND(VLOOKUP(C17,Hist.Geração!$A$4:$F$64,4,FALSE)*N17,2)," ")</f>
        <v>1033.58</v>
      </c>
      <c r="P17" s="142">
        <f>IFERROR(VLOOKUP(B17,Hist.Consum!$B$5:$V$120,12,FALSE),"")</f>
        <v>169.15</v>
      </c>
      <c r="Q17" s="143">
        <f>IFERROR(VLOOKUP(B17,Hist.Consum!$B$5:$V$120,15,FALSE),"")</f>
        <v>1074.8399999999999</v>
      </c>
      <c r="R17" s="144">
        <f>IFERROR(VLOOKUP(B17,Hist.Consum!$B$5:$W$120,22,FALSE),"")</f>
        <v>1.1284000000000001</v>
      </c>
      <c r="S17" s="145">
        <f t="shared" si="21"/>
        <v>1212.8494559999999</v>
      </c>
      <c r="T17" s="143" t="str">
        <f>VLOOKUP(K17,Hist.BT!$A$4:$C$127,3,FALSE)</f>
        <v>Verde</v>
      </c>
      <c r="U17" s="145">
        <f>IFERROR(ROUND(VLOOKUP(T17,Hist.BT!$G$3:$I$6,3,FALSE)*Q17,2),"")</f>
        <v>0</v>
      </c>
      <c r="V17" s="145">
        <f t="shared" si="22"/>
        <v>1030.92</v>
      </c>
      <c r="W17" s="145">
        <f t="shared" si="23"/>
        <v>181.92945599999985</v>
      </c>
      <c r="X17" s="145">
        <f t="shared" si="24"/>
        <v>-41.259999999999991</v>
      </c>
      <c r="Y17" s="145">
        <f>SUMIF(J6:$J$84,J17,X6:$X$84)</f>
        <v>9.9999999999997868E-3</v>
      </c>
      <c r="Z17" s="146"/>
      <c r="AA17" s="146"/>
      <c r="AB17" s="146">
        <f>SUMIF($J17:J$84,J17,$Q17:Q$84)</f>
        <v>2183.4100000000003</v>
      </c>
      <c r="AC17" s="146">
        <f>IFERROR(VLOOKUP(B17,Hist.Consum!$B$5:$AD$120,23,FALSE),"")</f>
        <v>5.2000000000163027E-5</v>
      </c>
      <c r="AD17" s="146" t="str">
        <f>IF((Y17/M17)&gt;1,"Mudar Urgente",IF((Y17/M17)&gt;0.4,"Rever Rateio",("ok")))</f>
        <v>ok</v>
      </c>
      <c r="AE17" s="146"/>
      <c r="AF17" s="4"/>
      <c r="AG17" s="147">
        <f>VLOOKUP(H17,Cad.RateioConsumo!$B$4:$Z$106,8,FALSE)</f>
        <v>0.15</v>
      </c>
    </row>
    <row r="18" spans="1:33" ht="14.25" customHeight="1">
      <c r="A18" s="4"/>
      <c r="B18" s="4" t="str">
        <f t="shared" ref="B18" si="25">H18&amp;K18</f>
        <v>3.601/2026</v>
      </c>
      <c r="C18" s="4" t="str">
        <f t="shared" ref="C18" si="26">F18&amp;L18</f>
        <v>Usina 312/2025</v>
      </c>
      <c r="D18" s="108">
        <f t="shared" ref="D18" si="27">IF(J18=G18,0,1)</f>
        <v>1</v>
      </c>
      <c r="E18" s="108">
        <f>IF(D18=0,"N/A",SUM($D18:D$83))</f>
        <v>37</v>
      </c>
      <c r="F18" s="108" t="s">
        <v>57</v>
      </c>
      <c r="G18" s="56">
        <f>VLOOKUP(F18,Cad.Usinas!$A$4:$B$6,2,FALSE)</f>
        <v>3023637013</v>
      </c>
      <c r="H18" s="109" t="s">
        <v>92</v>
      </c>
      <c r="I18" s="59" t="str">
        <f>VLOOKUP(H18,Cad.RateioConsumo!$B$4:$Z$106,2,FALSE)</f>
        <v>Patricia Maria Abreu Machado</v>
      </c>
      <c r="J18" s="140">
        <f>VLOOKUP(H18,Cad.RateioConsumo!$B$4:$Z$106,5,FALSE)</f>
        <v>3006793931</v>
      </c>
      <c r="K18" s="141" t="s">
        <v>286</v>
      </c>
      <c r="L18" s="141" t="s">
        <v>143</v>
      </c>
      <c r="M18" s="111">
        <f>VLOOKUP(H18,Cad.RateioConsumo!$B$4:$Z$106,7,FALSE)</f>
        <v>776.76923076923072</v>
      </c>
      <c r="N18" s="86">
        <f>ROUND(VLOOKUP(H18,Cad.RateioConsumo!$B$4:$Z$106,11,FALSE),4)</f>
        <v>5.5500000000000001E-2</v>
      </c>
      <c r="O18" s="142">
        <f>IFERROR(ROUND(VLOOKUP(C18,Hist.Geração!$A$4:$F$64,4,FALSE)*N18,2)," ")</f>
        <v>792.32</v>
      </c>
      <c r="P18" s="142">
        <f>IFERROR(VLOOKUP(B18,Hist.Consum!$B$5:$V$120,12,FALSE),"")</f>
        <v>100</v>
      </c>
      <c r="Q18" s="143">
        <f>IFERROR(VLOOKUP(B18,Hist.Consum!$B$5:$V$120,15,FALSE),"")</f>
        <v>713</v>
      </c>
      <c r="R18" s="144">
        <f>IFERROR(VLOOKUP(B18,Hist.Consum!$B$5:$W$120,22,FALSE),"")</f>
        <v>1.1286</v>
      </c>
      <c r="S18" s="145">
        <f t="shared" ref="S18" si="28">IFERROR(Q18*R18,"")</f>
        <v>804.69180000000006</v>
      </c>
      <c r="T18" s="143" t="str">
        <f>VLOOKUP(K18,Hist.BT!$A$4:$C$127,3,FALSE)</f>
        <v>Verde</v>
      </c>
      <c r="U18" s="145">
        <f>IFERROR(ROUND(VLOOKUP(T18,Hist.BT!$G$3:$I$6,3,FALSE)*Q18,2),"")</f>
        <v>0</v>
      </c>
      <c r="V18" s="145">
        <f t="shared" ref="V18" si="29">IFERROR(ROUND(SUM(S18+U18)*(1-AG18),2),"")</f>
        <v>683.99</v>
      </c>
      <c r="W18" s="145">
        <f t="shared" ref="W18" si="30">S18+U18-V18</f>
        <v>120.70180000000005</v>
      </c>
      <c r="X18" s="145">
        <f t="shared" ref="X18" si="31">O18-Q18</f>
        <v>79.32000000000005</v>
      </c>
      <c r="Y18" s="145">
        <f>SUMIF(J9:$J$84,J18,X9:$X$84)</f>
        <v>158.6400000000001</v>
      </c>
      <c r="Z18" s="146"/>
      <c r="AA18" s="146"/>
      <c r="AB18" s="146"/>
      <c r="AC18" s="146"/>
      <c r="AD18" s="146"/>
      <c r="AE18" s="68"/>
      <c r="AF18" s="4"/>
      <c r="AG18" s="147">
        <f>VLOOKUP(H18,Cad.RateioConsumo!$B$4:$Z$106,8,FALSE)</f>
        <v>0.15</v>
      </c>
    </row>
    <row r="19" spans="1:33" ht="14.25" customHeight="1">
      <c r="A19" s="4"/>
      <c r="B19" s="4" t="str">
        <f t="shared" si="0"/>
        <v>3.002/2026</v>
      </c>
      <c r="C19" s="4" t="str">
        <f t="shared" si="1"/>
        <v>Usina 301/2026</v>
      </c>
      <c r="D19" s="108">
        <f t="shared" si="2"/>
        <v>0</v>
      </c>
      <c r="E19" s="108" t="str">
        <f>IF(D19=0,"N/A",SUM($D19:D$83))</f>
        <v>N/A</v>
      </c>
      <c r="F19" s="108" t="s">
        <v>57</v>
      </c>
      <c r="G19" s="56">
        <f>VLOOKUP(F19,Cad.Usinas!$A$4:$B$6,2,FALSE)</f>
        <v>3023637013</v>
      </c>
      <c r="H19" s="109" t="s">
        <v>101</v>
      </c>
      <c r="I19" s="59" t="str">
        <f>VLOOKUP(H19,Cad.RateioConsumo!$B$4:$Z$106,2,FALSE)</f>
        <v>Usina 3</v>
      </c>
      <c r="J19" s="140">
        <f>VLOOKUP(H19,Cad.RateioConsumo!$B$4:$Z$106,5,FALSE)</f>
        <v>3023637013</v>
      </c>
      <c r="K19" s="141" t="s">
        <v>298</v>
      </c>
      <c r="L19" s="141" t="s">
        <v>286</v>
      </c>
      <c r="M19" s="111">
        <f>VLOOKUP(H19,Cad.RateioConsumo!$B$4:$Z$106,7,FALSE)</f>
        <v>8931.2331002331011</v>
      </c>
      <c r="N19" s="86">
        <f>ROUND(VLOOKUP(H19,Cad.RateioConsumo!$B$4:$Z$106,11,FALSE),4)</f>
        <v>0.67989999999999995</v>
      </c>
      <c r="O19" s="142">
        <f>IFERROR(ROUND(VLOOKUP(C19,Hist.Geração!$A$4:$F$64,4,FALSE)*N19,2)," ")</f>
        <v>9442.4500000000007</v>
      </c>
      <c r="P19" s="142">
        <f>IFERROR(VLOOKUP(B19,Hist.Consum!$B$5:$V$120,12,FALSE),"")</f>
        <v>0</v>
      </c>
      <c r="Q19" s="143">
        <f>IFERROR(VLOOKUP(B19,Hist.Consum!$B$5:$V$120,15,FALSE),"")</f>
        <v>0</v>
      </c>
      <c r="R19" s="144">
        <f>IFERROR(VLOOKUP(B19,Hist.Consum!$B$5:$W$120,22,FALSE),"")</f>
        <v>0.84319999999999995</v>
      </c>
      <c r="S19" s="145">
        <f t="shared" ref="S19" si="32">IFERROR(Q19*R19,"")</f>
        <v>0</v>
      </c>
      <c r="T19" s="143" t="str">
        <f>VLOOKUP(K19,Hist.BT!$A$4:$C$127,3,FALSE)</f>
        <v>Verde</v>
      </c>
      <c r="U19" s="145">
        <f>IFERROR(ROUND(VLOOKUP(T19,Hist.BT!$G$3:$I$6,3,FALSE)*Q19,2),"")</f>
        <v>0</v>
      </c>
      <c r="V19" s="145">
        <f t="shared" ref="V19" si="33">IFERROR(ROUND(SUM(S19+U19)*(1-AG19),2),"")</f>
        <v>0</v>
      </c>
      <c r="W19" s="145">
        <f t="shared" ref="W19:W20" si="34">S19+U19-V19</f>
        <v>0</v>
      </c>
      <c r="X19" s="145">
        <f t="shared" ref="X19" si="35">O19-Q19</f>
        <v>9442.4500000000007</v>
      </c>
      <c r="Y19" s="145">
        <f t="shared" ref="Y19" si="36">SUMIF($J19:J$84,J19,$X19:X$84)</f>
        <v>94182.39</v>
      </c>
      <c r="Z19" s="146"/>
      <c r="AA19" s="146"/>
      <c r="AB19" s="146">
        <f>SUMIF($J19:J$84,J19,$Q19:Q$84)</f>
        <v>0</v>
      </c>
      <c r="AC19" s="146">
        <f>IFERROR(VLOOKUP(B19,Hist.Consum!$B$5:$AD$120,23,FALSE),"")</f>
        <v>0</v>
      </c>
      <c r="AD19" s="146"/>
      <c r="AE19" s="146"/>
      <c r="AF19" s="4"/>
      <c r="AG19" s="147">
        <f>VLOOKUP(H19,Cad.RateioConsumo!$B$4:$Z$106,8,FALSE)</f>
        <v>0.15</v>
      </c>
    </row>
    <row r="20" spans="1:33" ht="14.25" customHeight="1">
      <c r="A20" s="4"/>
      <c r="B20" s="4" t="str">
        <f t="shared" si="0"/>
        <v/>
      </c>
      <c r="C20" s="4"/>
      <c r="D20" s="4"/>
      <c r="E20" s="4"/>
      <c r="F20" s="4"/>
      <c r="G20" s="4"/>
      <c r="H20" s="4"/>
      <c r="I20" s="4"/>
      <c r="J20" s="30"/>
      <c r="K20" s="30"/>
      <c r="L20" s="30"/>
      <c r="M20" s="4"/>
      <c r="N20" s="4"/>
      <c r="O20" s="4"/>
      <c r="P20" s="4"/>
      <c r="Q20" s="4"/>
      <c r="R20" s="4"/>
      <c r="S20" s="4"/>
      <c r="T20" s="4"/>
      <c r="U20" s="4"/>
      <c r="V20" s="4"/>
      <c r="W20" s="145">
        <f t="shared" si="34"/>
        <v>0</v>
      </c>
      <c r="X20" s="4"/>
      <c r="Y20" s="4"/>
      <c r="Z20" s="4"/>
      <c r="AA20" s="4"/>
      <c r="AB20" s="146">
        <f>SUMIF($J20:J$84,J20,$Q20:Q$84)</f>
        <v>0</v>
      </c>
      <c r="AC20" s="146" t="str">
        <f>IFERROR(VLOOKUP(B20,Hist.Consum!$B$5:$AD$120,23,FALSE),"")</f>
        <v/>
      </c>
      <c r="AD20" s="146"/>
      <c r="AE20" s="146"/>
      <c r="AF20" s="4"/>
      <c r="AG20" s="147" t="e">
        <f>VLOOKUP(H20,Cad.RateioConsumo!$B$4:$Z$106,8,FALSE)</f>
        <v>#N/A</v>
      </c>
    </row>
    <row r="21" spans="1:33" ht="14.25" customHeight="1">
      <c r="A21" s="4"/>
      <c r="B21" s="4" t="str">
        <f t="shared" ref="B21:B33" si="37">H21&amp;K21</f>
        <v>1.001/2026</v>
      </c>
      <c r="C21" s="4" t="str">
        <f t="shared" ref="C21:C32" si="38">F21&amp;L21</f>
        <v>Usina 112/2025</v>
      </c>
      <c r="D21" s="108">
        <f t="shared" ref="D21:D32" si="39">IF(J21=G21,0,1)</f>
        <v>0</v>
      </c>
      <c r="E21" s="108" t="str">
        <f t="shared" ref="E21:E32" si="40">IF(D21=0,"N/A",SUM($D21:D$83))</f>
        <v>N/A</v>
      </c>
      <c r="F21" s="108" t="s">
        <v>49</v>
      </c>
      <c r="G21" s="56">
        <f>VLOOKUP(F21,Cad.Usinas!$A$4:$B$6,2,FALSE)</f>
        <v>3023633492</v>
      </c>
      <c r="H21" s="109" t="s">
        <v>114</v>
      </c>
      <c r="I21" s="59" t="str">
        <f>VLOOKUP(H21,Cad.RateioConsumo!$B$4:$Z$106,2,FALSE)</f>
        <v>Usina 1</v>
      </c>
      <c r="J21" s="140">
        <f>VLOOKUP(H21,Cad.RateioConsumo!$B$4:$Z$106,5,FALSE)</f>
        <v>3023633492</v>
      </c>
      <c r="K21" s="141" t="s">
        <v>286</v>
      </c>
      <c r="L21" s="141" t="s">
        <v>143</v>
      </c>
      <c r="M21" s="111">
        <f>VLOOKUP(H21,Cad.RateioConsumo!$B$4:$Z$106,7,FALSE)</f>
        <v>14000</v>
      </c>
      <c r="N21" s="86">
        <f>ROUND(VLOOKUP(H21,Cad.RateioConsumo!$B$4:$Z$106,11,FALSE),4)</f>
        <v>0.3201</v>
      </c>
      <c r="O21" s="142">
        <f>IFERROR(ROUND(VLOOKUP(C21,Hist.Geração!$A$4:$F$64,4,FALSE)*N21,2)," ")</f>
        <v>3880.25</v>
      </c>
      <c r="P21" s="142">
        <f>IFERROR(VLOOKUP(B21,Hist.Consum!$B$5:$V$120,12,FALSE),"")</f>
        <v>0</v>
      </c>
      <c r="Q21" s="143">
        <f>IFERROR(VLOOKUP(B21,Hist.Consum!$B$5:$V$120,15,FALSE),"")</f>
        <v>0</v>
      </c>
      <c r="R21" s="144">
        <f>IFERROR(VLOOKUP(B21,Hist.Consum!$B$5:$W$120,22,FALSE),"")</f>
        <v>0.84319999999999995</v>
      </c>
      <c r="S21" s="145">
        <f t="shared" ref="S21:S32" si="41">IFERROR(Q21*R21,"")</f>
        <v>0</v>
      </c>
      <c r="T21" s="143" t="str">
        <f>VLOOKUP(K21,Hist.BT!$A$4:$C$127,3,FALSE)</f>
        <v>Verde</v>
      </c>
      <c r="U21" s="145">
        <f>IFERROR(ROUND(VLOOKUP(T21,Hist.BT!$G$3:$I$6,3,FALSE)*Q21,2),"")</f>
        <v>0</v>
      </c>
      <c r="V21" s="145">
        <f t="shared" ref="V21:V29" si="42">IFERROR(ROUND(SUM(S21+U21)*(1-AG21),2),"")</f>
        <v>0</v>
      </c>
      <c r="W21" s="145">
        <f t="shared" ref="W21:W33" si="43">S21+U21-V21</f>
        <v>0</v>
      </c>
      <c r="X21" s="145">
        <f t="shared" ref="X21:X32" si="44">O21-Q21</f>
        <v>3880.25</v>
      </c>
      <c r="Y21" s="145">
        <f t="shared" ref="Y21:Y28" si="45">SUMIF($J21:J$84,J21,$X21:X$84)</f>
        <v>34058</v>
      </c>
      <c r="Z21" s="146"/>
      <c r="AA21" s="146"/>
      <c r="AB21" s="146">
        <f>SUMIF(J21:$J$84,J21,Q21:$Q$84)</f>
        <v>0</v>
      </c>
      <c r="AC21" s="146">
        <f>IFERROR(VLOOKUP(B21,Hist.Consum!$B$5:$AD$120,23,FALSE),"")</f>
        <v>0</v>
      </c>
      <c r="AD21" s="146"/>
      <c r="AE21" s="146" t="str">
        <f>IFERROR(VLOOKUP(B21,Hist.Consum!$B$5:$AD$120,24,FALSE),"")</f>
        <v>A Equatorial cobrou errado uma tarida de GD2 , gerando itens que não são devidos: 1)Benefício Tarifário Bruto SCEE R$ 961,08 e 2) (-) Benefício Tarifário Líquido SCEE 702,62. O saldo deste valor foi dado como desconto para não te afetar os 15% de desconto na conta até que a Equatorial reverter esse valor.</v>
      </c>
      <c r="AF21" s="4"/>
      <c r="AG21" s="147">
        <f>VLOOKUP(H21,Cad.RateioConsumo!$B$4:$Z$106,8,FALSE)</f>
        <v>0.15</v>
      </c>
    </row>
    <row r="22" spans="1:33" ht="14.25" customHeight="1">
      <c r="A22" s="4"/>
      <c r="B22" s="4" t="str">
        <f t="shared" si="37"/>
        <v>2.101/2026</v>
      </c>
      <c r="C22" s="4" t="str">
        <f t="shared" si="38"/>
        <v>Usina 212/2025</v>
      </c>
      <c r="D22" s="108">
        <f t="shared" si="39"/>
        <v>1</v>
      </c>
      <c r="E22" s="108">
        <f t="shared" si="40"/>
        <v>36</v>
      </c>
      <c r="F22" s="108" t="s">
        <v>53</v>
      </c>
      <c r="G22" s="56">
        <f>VLOOKUP(F22,Cad.Usinas!$A$4:$B$6,2,FALSE)</f>
        <v>3023594470</v>
      </c>
      <c r="H22" s="109" t="s">
        <v>103</v>
      </c>
      <c r="I22" s="274" t="str">
        <f>VLOOKUP(H22,Cad.RateioConsumo!$B$4:$Z$106,2,FALSE)</f>
        <v>Lucas Medeiros Lima</v>
      </c>
      <c r="J22" s="140">
        <f>VLOOKUP(H22,Cad.RateioConsumo!$B$4:$Z$106,5,FALSE)</f>
        <v>3002796782</v>
      </c>
      <c r="K22" s="141" t="s">
        <v>286</v>
      </c>
      <c r="L22" s="141" t="s">
        <v>143</v>
      </c>
      <c r="M22" s="111">
        <f>VLOOKUP(H22,Cad.RateioConsumo!$B$4:$Z$106,7,FALSE)</f>
        <v>1536.5</v>
      </c>
      <c r="N22" s="86">
        <f>ROUND(VLOOKUP(H22,Cad.RateioConsumo!$B$4:$Z$106,11,FALSE),4)</f>
        <v>0.10979999999999999</v>
      </c>
      <c r="O22" s="142">
        <f>IFERROR(ROUND(VLOOKUP(C22,Hist.Geração!$A$4:$F$64,4,FALSE)*N22,2)," ")</f>
        <v>1514.36</v>
      </c>
      <c r="P22" s="142">
        <f>IFERROR(VLOOKUP(B22,Hist.Consum!$B$5:$V$120,12,FALSE),"")</f>
        <v>80</v>
      </c>
      <c r="Q22" s="143">
        <f>IFERROR(VLOOKUP(B22,Hist.Consum!$B$5:$V$120,15,FALSE),"")</f>
        <v>499</v>
      </c>
      <c r="R22" s="144">
        <f>IFERROR(VLOOKUP(B22,Hist.Consum!$B$5:$W$120,22,FALSE),"")</f>
        <v>0.84319999999999995</v>
      </c>
      <c r="S22" s="145">
        <f t="shared" si="41"/>
        <v>420.7568</v>
      </c>
      <c r="T22" s="143" t="str">
        <f>VLOOKUP(K22,Hist.BT!$A$4:$C$127,3,FALSE)</f>
        <v>Verde</v>
      </c>
      <c r="U22" s="145">
        <f>IFERROR(ROUND(VLOOKUP(T22,Hist.BT!$G$3:$I$6,3,FALSE)*Q22,2),"")</f>
        <v>0</v>
      </c>
      <c r="V22" s="145">
        <f t="shared" si="42"/>
        <v>357.64</v>
      </c>
      <c r="W22" s="145">
        <f t="shared" si="43"/>
        <v>63.116800000000012</v>
      </c>
      <c r="X22" s="145">
        <f t="shared" si="44"/>
        <v>1015.3599999999999</v>
      </c>
      <c r="Y22" s="145" t="e">
        <f t="shared" si="45"/>
        <v>#VALUE!</v>
      </c>
      <c r="Z22" s="146"/>
      <c r="AA22" s="146"/>
      <c r="AB22" s="146"/>
      <c r="AC22" s="146">
        <f>IFERROR(VLOOKUP(B22,Hist.Consum!$B$5:$AD$120,23,FALSE),"")</f>
        <v>175.78</v>
      </c>
      <c r="AD22" s="149" t="s">
        <v>168</v>
      </c>
      <c r="AE22" s="68" t="str">
        <f>IFERROR(VLOOKUP(B22,Hist.Consum!$B$5:$AD$120,24,FALSE),"")</f>
        <v>A Equatorial errou no faturamento e cobrou indevidamente uma tarifa adicional:1)Benefício Tarifário Bruto SCEE e 2) (-) Benefício Tarifário Líquido SCEE . O saldo deste valor foi dado como desconto para não te afetar os 15% de desconto na conta até que a Equatorial reverter esse valor.</v>
      </c>
      <c r="AF22" s="4"/>
      <c r="AG22" s="147">
        <f>VLOOKUP(H22,Cad.RateioConsumo!$B$4:$Z$106,8,FALSE)</f>
        <v>0.15</v>
      </c>
    </row>
    <row r="23" spans="1:33" ht="14.25" customHeight="1">
      <c r="A23" s="270" t="s">
        <v>284</v>
      </c>
      <c r="B23" s="4" t="str">
        <f t="shared" si="37"/>
        <v>2.201/2026</v>
      </c>
      <c r="C23" s="4" t="str">
        <f t="shared" si="38"/>
        <v>Usina 212/2025</v>
      </c>
      <c r="D23" s="108">
        <f t="shared" si="39"/>
        <v>1</v>
      </c>
      <c r="E23" s="108">
        <f t="shared" si="40"/>
        <v>35</v>
      </c>
      <c r="F23" s="108" t="s">
        <v>53</v>
      </c>
      <c r="G23" s="56">
        <f>VLOOKUP(F23,Cad.Usinas!$A$4:$B$6,2,FALSE)</f>
        <v>3023594470</v>
      </c>
      <c r="H23" s="109" t="s">
        <v>108</v>
      </c>
      <c r="I23" s="257" t="str">
        <f>VLOOKUP(H23,Cad.RateioConsumo!$B$4:$Z$106,2,FALSE)</f>
        <v>SORRISO SAUDE ODONTOLOGIA LTDA</v>
      </c>
      <c r="J23" s="140">
        <f>VLOOKUP(H23,Cad.RateioConsumo!$B$4:$Z$106,5,FALSE)</f>
        <v>3022893768</v>
      </c>
      <c r="K23" s="141" t="s">
        <v>286</v>
      </c>
      <c r="L23" s="141" t="s">
        <v>143</v>
      </c>
      <c r="M23" s="111">
        <f>VLOOKUP(H23,Cad.RateioConsumo!$B$4:$Z$106,7,FALSE)</f>
        <v>859</v>
      </c>
      <c r="N23" s="86">
        <f>ROUND(VLOOKUP(H23,Cad.RateioConsumo!$B$4:$Z$106,11,FALSE),4)</f>
        <v>6.1400000000000003E-2</v>
      </c>
      <c r="O23" s="142">
        <f>IFERROR(ROUND(VLOOKUP(C23,Hist.Geração!$A$4:$F$64,4,FALSE)*N23,2)," ")</f>
        <v>846.83</v>
      </c>
      <c r="P23" s="142">
        <f>IFERROR(VLOOKUP(B23,Hist.Consum!$B$5:$V$120,12,FALSE),"")</f>
        <v>100</v>
      </c>
      <c r="Q23" s="143">
        <f>IFERROR(VLOOKUP(B23,Hist.Consum!$B$5:$V$120,15,FALSE),"")</f>
        <v>399</v>
      </c>
      <c r="R23" s="144">
        <f>IFERROR(VLOOKUP(B23,Hist.Consum!$B$5:$W$120,22,FALSE),"")</f>
        <v>1.1284000000000001</v>
      </c>
      <c r="S23" s="145">
        <f t="shared" si="41"/>
        <v>450.23160000000001</v>
      </c>
      <c r="T23" s="143" t="str">
        <f>VLOOKUP(K23,Hist.BT!$A$4:$C$127,3,FALSE)</f>
        <v>Verde</v>
      </c>
      <c r="U23" s="145">
        <f>IFERROR(ROUND(VLOOKUP(T23,Hist.BT!$G$3:$I$6,3,FALSE)*Q23,2),"")</f>
        <v>0</v>
      </c>
      <c r="V23" s="145">
        <f t="shared" si="42"/>
        <v>373.69</v>
      </c>
      <c r="W23" s="145">
        <f t="shared" si="43"/>
        <v>76.541600000000017</v>
      </c>
      <c r="X23" s="145">
        <f t="shared" si="44"/>
        <v>447.83000000000004</v>
      </c>
      <c r="Y23" s="145">
        <f t="shared" si="45"/>
        <v>644.1</v>
      </c>
      <c r="Z23" s="146"/>
      <c r="AA23" s="146"/>
      <c r="AB23" s="146"/>
      <c r="AC23" s="146">
        <f>IFERROR(VLOOKUP(B23,Hist.Consum!$B$5:$AD$120,23,FALSE),"")</f>
        <v>0</v>
      </c>
      <c r="AD23" s="149" t="s">
        <v>168</v>
      </c>
      <c r="AE23" s="68">
        <f>IFERROR(VLOOKUP(B23,Hist.Consum!$B$5:$AD$120,24,FALSE),"")</f>
        <v>0</v>
      </c>
      <c r="AF23" s="4"/>
      <c r="AG23" s="147">
        <f>VLOOKUP(H23,Cad.RateioConsumo!$B$4:$Z$106,8,FALSE)</f>
        <v>0.17</v>
      </c>
    </row>
    <row r="24" spans="1:33" ht="14.25" customHeight="1">
      <c r="A24" s="4"/>
      <c r="B24" s="4" t="str">
        <f t="shared" si="37"/>
        <v>2.001/2026</v>
      </c>
      <c r="C24" s="4" t="str">
        <f t="shared" si="38"/>
        <v>Usina 212/2025</v>
      </c>
      <c r="D24" s="108">
        <f t="shared" si="39"/>
        <v>0</v>
      </c>
      <c r="E24" s="108" t="str">
        <f t="shared" si="40"/>
        <v>N/A</v>
      </c>
      <c r="F24" s="108" t="s">
        <v>53</v>
      </c>
      <c r="G24" s="56">
        <f>VLOOKUP(F24,Cad.Usinas!$A$4:$B$6,2,FALSE)</f>
        <v>3023594470</v>
      </c>
      <c r="H24" s="109" t="s">
        <v>113</v>
      </c>
      <c r="I24" s="59" t="str">
        <f>VLOOKUP(H24,Cad.RateioConsumo!$B$4:$Z$106,2,FALSE)</f>
        <v>Usina 2</v>
      </c>
      <c r="J24" s="140">
        <f>VLOOKUP(H24,Cad.RateioConsumo!$B$4:$Z$106,5,FALSE)</f>
        <v>3023594470</v>
      </c>
      <c r="K24" s="141" t="s">
        <v>286</v>
      </c>
      <c r="L24" s="141" t="s">
        <v>143</v>
      </c>
      <c r="M24" s="111">
        <f>VLOOKUP(H24,Cad.RateioConsumo!$B$4:$Z$106,7,FALSE)</f>
        <v>14000</v>
      </c>
      <c r="N24" s="86">
        <f>VLOOKUP(H24,Cad.RateioConsumo!$B$4:$Z$106,11,FALSE)</f>
        <v>1</v>
      </c>
      <c r="O24" s="142">
        <f>IFERROR(ROUND(VLOOKUP(C24,Hist.Geração!$A$4:$F$64,4,FALSE)*N24,2)," ")</f>
        <v>13792</v>
      </c>
      <c r="P24" s="142">
        <f>IFERROR(VLOOKUP(B24,Hist.Consum!$B$5:$V$120,12,FALSE),"")</f>
        <v>0</v>
      </c>
      <c r="Q24" s="143">
        <f>IFERROR(VLOOKUP(B24,Hist.Consum!$B$5:$V$120,15,FALSE),"")</f>
        <v>0</v>
      </c>
      <c r="R24" s="144">
        <f>IFERROR(VLOOKUP(B24,Hist.Consum!$B$5:$W$120,22,FALSE),"")</f>
        <v>0.84319999999999995</v>
      </c>
      <c r="S24" s="145">
        <f t="shared" si="41"/>
        <v>0</v>
      </c>
      <c r="T24" s="143" t="str">
        <f>VLOOKUP(K24,Hist.BT!$A$4:$C$127,3,FALSE)</f>
        <v>Verde</v>
      </c>
      <c r="U24" s="145">
        <f>IFERROR(ROUND(VLOOKUP(T24,Hist.BT!$G$3:$I$6,3,FALSE)*Q24,2),"")</f>
        <v>0</v>
      </c>
      <c r="V24" s="145">
        <f t="shared" si="42"/>
        <v>0</v>
      </c>
      <c r="W24" s="145">
        <f t="shared" si="43"/>
        <v>0</v>
      </c>
      <c r="X24" s="145">
        <f t="shared" si="44"/>
        <v>13792</v>
      </c>
      <c r="Y24" s="145">
        <f t="shared" si="45"/>
        <v>111362</v>
      </c>
      <c r="Z24" s="146"/>
      <c r="AA24" s="146"/>
      <c r="AB24" s="146">
        <f t="shared" ref="AB24:AB28" si="46">SUMIF($J24:J$84,J24,$Q24:Q$84)</f>
        <v>0</v>
      </c>
      <c r="AC24" s="146">
        <f>IFERROR(VLOOKUP(B24,Hist.Consum!$B$5:$AD$120,23,FALSE),"")</f>
        <v>0</v>
      </c>
      <c r="AD24" s="146"/>
      <c r="AE24" s="146"/>
      <c r="AF24" s="4"/>
      <c r="AG24" s="147">
        <f>VLOOKUP(H24,Cad.RateioConsumo!$B$4:$Z$106,8,FALSE)</f>
        <v>0.15</v>
      </c>
    </row>
    <row r="25" spans="1:33" ht="14.25" customHeight="1">
      <c r="A25" s="270" t="s">
        <v>284</v>
      </c>
      <c r="B25" s="4" t="str">
        <f t="shared" si="37"/>
        <v>3.101/2026</v>
      </c>
      <c r="C25" s="4" t="str">
        <f t="shared" si="38"/>
        <v>Usina 312/2025</v>
      </c>
      <c r="D25" s="108">
        <f t="shared" si="39"/>
        <v>1</v>
      </c>
      <c r="E25" s="108">
        <f t="shared" si="40"/>
        <v>34</v>
      </c>
      <c r="F25" s="108" t="s">
        <v>57</v>
      </c>
      <c r="G25" s="56">
        <f>VLOOKUP(F25,Cad.Usinas!$A$4:$B$6,2,FALSE)</f>
        <v>3023637013</v>
      </c>
      <c r="H25" s="109" t="s">
        <v>70</v>
      </c>
      <c r="I25" s="257" t="str">
        <f>VLOOKUP(H25,Cad.RateioConsumo!$B$4:$Z$106,2,FALSE)</f>
        <v>Associação dos Moradores do Residencial Araçagy</v>
      </c>
      <c r="J25" s="140">
        <f>VLOOKUP(H25,Cad.RateioConsumo!$B$4:$Z$106,5,FALSE)</f>
        <v>3021142432</v>
      </c>
      <c r="K25" s="141" t="s">
        <v>286</v>
      </c>
      <c r="L25" s="141" t="s">
        <v>143</v>
      </c>
      <c r="M25" s="151">
        <f>VLOOKUP(H25,Cad.RateioConsumo!$B$4:$Z$106,7,FALSE)</f>
        <v>205.36363636363637</v>
      </c>
      <c r="N25" s="86">
        <f>ROUND(VLOOKUP(H25,Cad.RateioConsumo!$B$4:$Z$106,11,FALSE),4)</f>
        <v>1.47E-2</v>
      </c>
      <c r="O25" s="142">
        <f>IFERROR(ROUND(VLOOKUP(C25,Hist.Geração!$A$4:$F$64,4,FALSE)*N25,2)," ")</f>
        <v>209.86</v>
      </c>
      <c r="P25" s="142">
        <f>IFERROR(VLOOKUP(B25,Hist.Consum!$B$5:$V$120,12,FALSE),"")</f>
        <v>100</v>
      </c>
      <c r="Q25" s="143">
        <f>IFERROR(VLOOKUP(B25,Hist.Consum!$B$5:$V$120,15,FALSE),"")</f>
        <v>114.86</v>
      </c>
      <c r="R25" s="144">
        <f>IFERROR(VLOOKUP(B25,Hist.Consum!$B$5:$W$120,22,FALSE),"")</f>
        <v>1.1284000000000001</v>
      </c>
      <c r="S25" s="145">
        <f t="shared" si="41"/>
        <v>129.608024</v>
      </c>
      <c r="T25" s="143" t="str">
        <f>VLOOKUP(K25,Hist.BT!$A$4:$C$127,3,FALSE)</f>
        <v>Verde</v>
      </c>
      <c r="U25" s="145">
        <f>IFERROR(ROUND(VLOOKUP(T25,Hist.BT!$G$3:$I$6,3,FALSE)*Q25,2),"")</f>
        <v>0</v>
      </c>
      <c r="V25" s="145">
        <f t="shared" si="42"/>
        <v>110.17</v>
      </c>
      <c r="W25" s="145">
        <f t="shared" si="43"/>
        <v>19.438023999999999</v>
      </c>
      <c r="X25" s="145">
        <f t="shared" si="44"/>
        <v>95.000000000000014</v>
      </c>
      <c r="Y25" s="145">
        <f t="shared" si="45"/>
        <v>271.31</v>
      </c>
      <c r="Z25" s="146">
        <f>Y25/M25</f>
        <v>1.3211199645861</v>
      </c>
      <c r="AA25" s="146"/>
      <c r="AB25" s="146">
        <f t="shared" si="46"/>
        <v>652.22</v>
      </c>
      <c r="AC25" s="146">
        <f>IFERROR(VLOOKUP(B25,Hist.Consum!$B$5:$AD$120,23,FALSE),"")</f>
        <v>0</v>
      </c>
      <c r="AD25" s="149" t="s">
        <v>288</v>
      </c>
      <c r="AE25" s="68"/>
      <c r="AF25" s="4"/>
      <c r="AG25" s="147">
        <f>VLOOKUP(H25,Cad.RateioConsumo!$B$4:$Z$106,8,FALSE)</f>
        <v>0.15</v>
      </c>
    </row>
    <row r="26" spans="1:33" ht="14.25" customHeight="1">
      <c r="A26" s="270" t="s">
        <v>284</v>
      </c>
      <c r="B26" s="4" t="str">
        <f t="shared" si="37"/>
        <v>3.201/2026</v>
      </c>
      <c r="C26" s="4" t="str">
        <f t="shared" si="38"/>
        <v>Usina 312/2025</v>
      </c>
      <c r="D26" s="108">
        <f t="shared" si="39"/>
        <v>1</v>
      </c>
      <c r="E26" s="108">
        <f t="shared" si="40"/>
        <v>33</v>
      </c>
      <c r="F26" s="108" t="s">
        <v>57</v>
      </c>
      <c r="G26" s="56">
        <f>VLOOKUP(F26,Cad.Usinas!$A$4:$B$6,2,FALSE)</f>
        <v>3023637013</v>
      </c>
      <c r="H26" s="109" t="s">
        <v>75</v>
      </c>
      <c r="I26" s="257" t="str">
        <f>VLOOKUP(H26,Cad.RateioConsumo!$B$4:$Z$106,2,FALSE)</f>
        <v>Associação dos Moradores do Residencial Araçagy</v>
      </c>
      <c r="J26" s="140">
        <f>VLOOKUP(H26,Cad.RateioConsumo!$B$4:$Z$106,5,FALSE)</f>
        <v>3021149593</v>
      </c>
      <c r="K26" s="141" t="s">
        <v>286</v>
      </c>
      <c r="L26" s="141" t="s">
        <v>143</v>
      </c>
      <c r="M26" s="111">
        <f>VLOOKUP(H26,Cad.RateioConsumo!$B$4:$Z$106,7,FALSE)</f>
        <v>734.33333333333337</v>
      </c>
      <c r="N26" s="86">
        <f>ROUND(VLOOKUP(H26,Cad.RateioConsumo!$B$4:$Z$106,11,FALSE),4)</f>
        <v>5.2499999999999998E-2</v>
      </c>
      <c r="O26" s="142">
        <f>IFERROR(ROUND(VLOOKUP(C26,Hist.Geração!$A$4:$F$64,4,FALSE)*N26,2)," ")</f>
        <v>749.49</v>
      </c>
      <c r="P26" s="142">
        <f>IFERROR(VLOOKUP(B26,Hist.Consum!$B$5:$V$120,12,FALSE),"")</f>
        <v>30</v>
      </c>
      <c r="Q26" s="143">
        <f>IFERROR(VLOOKUP(B26,Hist.Consum!$B$5:$V$120,15,FALSE),"")</f>
        <v>660.25</v>
      </c>
      <c r="R26" s="144">
        <f>IFERROR(VLOOKUP(B26,Hist.Consum!$B$5:$W$120,22,FALSE),"")</f>
        <v>1.1283000000000001</v>
      </c>
      <c r="S26" s="145">
        <f t="shared" si="41"/>
        <v>744.96007500000007</v>
      </c>
      <c r="T26" s="143" t="str">
        <f>VLOOKUP(K26,Hist.BT!$A$4:$C$127,3,FALSE)</f>
        <v>Verde</v>
      </c>
      <c r="U26" s="145">
        <f>IFERROR(ROUND(VLOOKUP(T26,Hist.BT!$G$3:$I$6,3,FALSE)*Q26,2),"")</f>
        <v>0</v>
      </c>
      <c r="V26" s="145">
        <f t="shared" si="42"/>
        <v>633.22</v>
      </c>
      <c r="W26" s="145">
        <f t="shared" si="43"/>
        <v>111.74007500000005</v>
      </c>
      <c r="X26" s="145">
        <f t="shared" si="44"/>
        <v>89.240000000000009</v>
      </c>
      <c r="Y26" s="145">
        <f t="shared" si="45"/>
        <v>89.26</v>
      </c>
      <c r="Z26" s="146"/>
      <c r="AA26" s="146"/>
      <c r="AB26" s="146">
        <f t="shared" si="46"/>
        <v>3209.04</v>
      </c>
      <c r="AC26" s="146">
        <f>IFERROR(VLOOKUP(B26,Hist.Consum!$B$5:$AD$120,23,FALSE),"")</f>
        <v>0</v>
      </c>
      <c r="AD26" s="149"/>
      <c r="AE26" s="68"/>
      <c r="AF26" s="4"/>
      <c r="AG26" s="147">
        <f>VLOOKUP(H26,Cad.RateioConsumo!$B$4:$Z$106,8,FALSE)</f>
        <v>0.15</v>
      </c>
    </row>
    <row r="27" spans="1:33" ht="14.25" customHeight="1">
      <c r="A27" s="270" t="s">
        <v>284</v>
      </c>
      <c r="B27" s="4" t="str">
        <f t="shared" si="37"/>
        <v>3.301/2026</v>
      </c>
      <c r="C27" s="4" t="str">
        <f t="shared" si="38"/>
        <v>Usina 312/2025</v>
      </c>
      <c r="D27" s="108">
        <f t="shared" si="39"/>
        <v>1</v>
      </c>
      <c r="E27" s="108">
        <f t="shared" si="40"/>
        <v>32</v>
      </c>
      <c r="F27" s="108" t="s">
        <v>57</v>
      </c>
      <c r="G27" s="56">
        <f>VLOOKUP(F27,Cad.Usinas!$A$4:$B$6,2,FALSE)</f>
        <v>3023637013</v>
      </c>
      <c r="H27" s="109" t="s">
        <v>77</v>
      </c>
      <c r="I27" s="257" t="str">
        <f>VLOOKUP(H27,Cad.RateioConsumo!$B$4:$Z$106,2,FALSE)</f>
        <v>Associação dos Moradores do Residencial Araçagy</v>
      </c>
      <c r="J27" s="140">
        <f>VLOOKUP(H27,Cad.RateioConsumo!$B$4:$Z$106,5,FALSE)</f>
        <v>3021150559</v>
      </c>
      <c r="K27" s="141" t="s">
        <v>286</v>
      </c>
      <c r="L27" s="141" t="s">
        <v>143</v>
      </c>
      <c r="M27" s="111">
        <f>VLOOKUP(H27,Cad.RateioConsumo!$B$4:$Z$106,7,FALSE)</f>
        <v>2086.4545454545455</v>
      </c>
      <c r="N27" s="86">
        <f>ROUND(VLOOKUP(H27,Cad.RateioConsumo!$B$4:$Z$106,11,FALSE),4)</f>
        <v>0.107</v>
      </c>
      <c r="O27" s="142">
        <f>IFERROR(ROUND(VLOOKUP(C27,Hist.Geração!$A$4:$F$64,4,FALSE)*N27,2)," ")</f>
        <v>1527.53</v>
      </c>
      <c r="P27" s="142">
        <f>IFERROR(VLOOKUP(B27,Hist.Consum!$B$5:$V$120,12,FALSE),"")</f>
        <v>307.3</v>
      </c>
      <c r="Q27" s="143">
        <f>IFERROR(VLOOKUP(B27,Hist.Consum!$B$5:$V$120,15,FALSE),"")</f>
        <v>1528.95</v>
      </c>
      <c r="R27" s="144">
        <f>IFERROR(VLOOKUP(B27,Hist.Consum!$B$5:$W$120,22,FALSE),"")</f>
        <v>1.1284000000000001</v>
      </c>
      <c r="S27" s="145">
        <f t="shared" si="41"/>
        <v>1725.2671800000001</v>
      </c>
      <c r="T27" s="143" t="str">
        <f>VLOOKUP(K27,Hist.BT!$A$4:$C$127,3,FALSE)</f>
        <v>Verde</v>
      </c>
      <c r="U27" s="145">
        <f>IFERROR(ROUND(VLOOKUP(T27,Hist.BT!$G$3:$I$6,3,FALSE)*Q27,2),"")</f>
        <v>0</v>
      </c>
      <c r="V27" s="145">
        <f t="shared" si="42"/>
        <v>1466.48</v>
      </c>
      <c r="W27" s="145">
        <f t="shared" si="43"/>
        <v>258.78718000000003</v>
      </c>
      <c r="X27" s="145">
        <f t="shared" si="44"/>
        <v>-1.4200000000000728</v>
      </c>
      <c r="Y27" s="145">
        <f t="shared" si="45"/>
        <v>-2.9700000000000273</v>
      </c>
      <c r="Z27" s="146"/>
      <c r="AA27" s="146"/>
      <c r="AB27" s="146">
        <f t="shared" si="46"/>
        <v>8097.24</v>
      </c>
      <c r="AC27" s="146">
        <f>IFERROR(VLOOKUP(B27,Hist.Consum!$B$5:$AD$120,23,FALSE),"")</f>
        <v>0</v>
      </c>
      <c r="AD27" s="149" t="s">
        <v>289</v>
      </c>
      <c r="AE27" s="68"/>
      <c r="AF27" s="4"/>
      <c r="AG27" s="147">
        <f>VLOOKUP(H27,Cad.RateioConsumo!$B$4:$Z$106,8,FALSE)</f>
        <v>0.15</v>
      </c>
    </row>
    <row r="28" spans="1:33" ht="14.25" customHeight="1">
      <c r="A28" s="270" t="s">
        <v>284</v>
      </c>
      <c r="B28" s="4" t="str">
        <f t="shared" si="37"/>
        <v>3.401/2026</v>
      </c>
      <c r="C28" s="4" t="str">
        <f t="shared" si="38"/>
        <v>Usina 312/2025</v>
      </c>
      <c r="D28" s="108">
        <f t="shared" si="39"/>
        <v>1</v>
      </c>
      <c r="E28" s="108">
        <f t="shared" si="40"/>
        <v>31</v>
      </c>
      <c r="F28" s="108" t="s">
        <v>57</v>
      </c>
      <c r="G28" s="56">
        <f>VLOOKUP(F28,Cad.Usinas!$A$4:$B$6,2,FALSE)</f>
        <v>3023637013</v>
      </c>
      <c r="H28" s="109" t="s">
        <v>82</v>
      </c>
      <c r="I28" s="257" t="str">
        <f>VLOOKUP(H28,Cad.RateioConsumo!$B$4:$Z$106,2,FALSE)</f>
        <v>Antonio Jose Souza Filho</v>
      </c>
      <c r="J28" s="140">
        <f>VLOOKUP(H28,Cad.RateioConsumo!$B$4:$Z$106,5,FALSE)</f>
        <v>3007625048</v>
      </c>
      <c r="K28" s="141" t="s">
        <v>286</v>
      </c>
      <c r="L28" s="141" t="s">
        <v>143</v>
      </c>
      <c r="M28" s="111">
        <f>VLOOKUP(H28,Cad.RateioConsumo!$B$4:$Z$106,7,FALSE)</f>
        <v>417.15384615384613</v>
      </c>
      <c r="N28" s="86">
        <f>ROUND(VLOOKUP(H28,Cad.RateioConsumo!$B$4:$Z$106,11,FALSE),4)</f>
        <v>2.98E-2</v>
      </c>
      <c r="O28" s="142">
        <f>IFERROR(ROUND(VLOOKUP(C28,Hist.Geração!$A$4:$F$64,4,FALSE)*N28,2)," ")</f>
        <v>425.42</v>
      </c>
      <c r="P28" s="142">
        <f>IFERROR(VLOOKUP(B28,Hist.Consum!$B$5:$V$120,12,FALSE),"")</f>
        <v>129.47</v>
      </c>
      <c r="Q28" s="143">
        <f>IFERROR(VLOOKUP(B28,Hist.Consum!$B$5:$V$120,15,FALSE),"")</f>
        <v>441.52</v>
      </c>
      <c r="R28" s="144">
        <f>IFERROR(VLOOKUP(B28,Hist.Consum!$B$5:$W$120,22,FALSE),"")</f>
        <v>1.1284000000000001</v>
      </c>
      <c r="S28" s="145">
        <f t="shared" si="41"/>
        <v>498.21116799999999</v>
      </c>
      <c r="T28" s="143" t="str">
        <f>VLOOKUP(K28,Hist.BT!$A$4:$C$127,3,FALSE)</f>
        <v>Verde</v>
      </c>
      <c r="U28" s="145">
        <f>IFERROR(ROUND(VLOOKUP(T28,Hist.BT!$G$3:$I$6,3,FALSE)*Q28,2),"")</f>
        <v>0</v>
      </c>
      <c r="V28" s="145">
        <f t="shared" si="42"/>
        <v>423.48</v>
      </c>
      <c r="W28" s="145">
        <f t="shared" si="43"/>
        <v>74.731167999999968</v>
      </c>
      <c r="X28" s="145">
        <f t="shared" si="44"/>
        <v>-16.099999999999966</v>
      </c>
      <c r="Y28" s="145">
        <f t="shared" si="45"/>
        <v>8.5265128291212022E-14</v>
      </c>
      <c r="Z28" s="146"/>
      <c r="AA28" s="146"/>
      <c r="AB28" s="146">
        <f t="shared" si="46"/>
        <v>1872.17</v>
      </c>
      <c r="AC28" s="146">
        <f>IFERROR(VLOOKUP(B28,Hist.Consum!$B$5:$AD$120,23,FALSE),"")</f>
        <v>0</v>
      </c>
      <c r="AD28" s="149"/>
      <c r="AE28" s="68"/>
      <c r="AF28" s="4"/>
      <c r="AG28" s="147">
        <f>VLOOKUP(H28,Cad.RateioConsumo!$B$4:$Z$106,8,FALSE)</f>
        <v>0.15</v>
      </c>
    </row>
    <row r="29" spans="1:33" ht="14.25" customHeight="1">
      <c r="A29" s="4"/>
      <c r="B29" s="4" t="str">
        <f t="shared" si="37"/>
        <v>3.512/2025</v>
      </c>
      <c r="C29" s="4" t="str">
        <f t="shared" si="38"/>
        <v>Usina 311/2025</v>
      </c>
      <c r="D29" s="108">
        <f t="shared" si="39"/>
        <v>1</v>
      </c>
      <c r="E29" s="108">
        <f t="shared" si="40"/>
        <v>30</v>
      </c>
      <c r="F29" s="108" t="s">
        <v>57</v>
      </c>
      <c r="G29" s="56">
        <f>VLOOKUP(F29,Cad.Usinas!$A$4:$B$6,2,FALSE)</f>
        <v>3023637013</v>
      </c>
      <c r="H29" s="109" t="s">
        <v>87</v>
      </c>
      <c r="I29" s="274" t="str">
        <f>VLOOKUP(H29,Cad.RateioConsumo!$B$4:$Z$106,2,FALSE)</f>
        <v>João Carlos Pereira Dutra Filho</v>
      </c>
      <c r="J29" s="140">
        <f>VLOOKUP(H29,Cad.RateioConsumo!$B$4:$Z$106,5,FALSE)</f>
        <v>1163310</v>
      </c>
      <c r="K29" s="141" t="s">
        <v>143</v>
      </c>
      <c r="L29" s="141" t="s">
        <v>26</v>
      </c>
      <c r="M29" s="111">
        <f>VLOOKUP(H29,Cad.RateioConsumo!$B$4:$Z$106,7,FALSE)</f>
        <v>848.69230769230774</v>
      </c>
      <c r="N29" s="86">
        <f>ROUND(VLOOKUP(H29,Cad.RateioConsumo!$B$4:$Z$106,11,FALSE),4)</f>
        <v>6.0600000000000001E-2</v>
      </c>
      <c r="O29" s="142">
        <f>IFERROR(ROUND(VLOOKUP(C29,Hist.Geração!$A$4:$F$64,4,FALSE)*N29,2)," ")</f>
        <v>951.9</v>
      </c>
      <c r="P29" s="142">
        <f>IFERROR(VLOOKUP(B29,Hist.Consum!$B$5:$V$120,12,FALSE),"")</f>
        <v>30</v>
      </c>
      <c r="Q29" s="143">
        <f>IFERROR(VLOOKUP(B29,Hist.Consum!$B$5:$V$120,15,FALSE),"")</f>
        <v>864</v>
      </c>
      <c r="R29" s="144">
        <f>IFERROR(VLOOKUP(B29,Hist.Consum!$B$5:$W$120,22,FALSE),"")</f>
        <v>1.1427</v>
      </c>
      <c r="S29" s="145">
        <f t="shared" si="41"/>
        <v>987.29280000000006</v>
      </c>
      <c r="T29" s="143" t="str">
        <f>VLOOKUP(K29,Hist.BT!$A$4:$C$127,3,FALSE)</f>
        <v>Amarela</v>
      </c>
      <c r="U29" s="145">
        <f>IFERROR(ROUND(VLOOKUP(T29,Hist.BT!$G$3:$I$6,3,FALSE)*Q29,2),"")</f>
        <v>21.15</v>
      </c>
      <c r="V29" s="145">
        <f t="shared" si="42"/>
        <v>857.18</v>
      </c>
      <c r="W29" s="145">
        <f t="shared" si="43"/>
        <v>151.26280000000008</v>
      </c>
      <c r="X29" s="145">
        <f t="shared" si="44"/>
        <v>87.899999999999977</v>
      </c>
      <c r="Y29" s="145">
        <f>SUMIF(J21:$J$84,J29,X21:$X$84)</f>
        <v>87.909999999999982</v>
      </c>
      <c r="Z29" s="146"/>
      <c r="AA29" s="146"/>
      <c r="AB29" s="146">
        <f>SUMIF(J21:$J$84,J29,Q21:$Q$84)</f>
        <v>874.52</v>
      </c>
      <c r="AC29" s="146">
        <f>IFERROR(VLOOKUP(B29,Hist.Consum!$B$5:$AD$120,23,FALSE),"")</f>
        <v>0</v>
      </c>
      <c r="AD29" s="146" t="str">
        <f>IF((Y29/M29)&gt;1,"Mudar Urgente",IF((Y29/M29)&gt;0.4,"Rever Rateio",("ok")))</f>
        <v>ok</v>
      </c>
      <c r="AE29" s="146"/>
      <c r="AF29" s="4"/>
      <c r="AG29" s="147">
        <f>VLOOKUP(H29,Cad.RateioConsumo!$B$4:$Z$106,8,FALSE)</f>
        <v>0.15</v>
      </c>
    </row>
    <row r="30" spans="1:33" ht="14.25" customHeight="1">
      <c r="A30" s="270" t="s">
        <v>284</v>
      </c>
      <c r="B30" s="4" t="str">
        <f t="shared" si="37"/>
        <v>3.6</v>
      </c>
      <c r="C30" s="4" t="str">
        <f t="shared" si="38"/>
        <v>Usina 3</v>
      </c>
      <c r="D30" s="108">
        <f t="shared" si="39"/>
        <v>1</v>
      </c>
      <c r="E30" s="108">
        <f t="shared" si="40"/>
        <v>29</v>
      </c>
      <c r="F30" s="108" t="s">
        <v>57</v>
      </c>
      <c r="G30" s="56">
        <f>VLOOKUP(F30,Cad.Usinas!$A$4:$B$6,2,FALSE)</f>
        <v>3023637013</v>
      </c>
      <c r="H30" s="109" t="s">
        <v>92</v>
      </c>
      <c r="I30" s="257" t="str">
        <f>VLOOKUP(H30,Cad.RateioConsumo!$B$4:$Z$106,2,FALSE)</f>
        <v>Patricia Maria Abreu Machado</v>
      </c>
      <c r="J30" s="140"/>
      <c r="K30" s="141"/>
      <c r="L30" s="141"/>
      <c r="M30" s="111"/>
      <c r="N30" s="86"/>
      <c r="O30" s="142"/>
      <c r="P30" s="142"/>
      <c r="Q30" s="143"/>
      <c r="R30" s="144"/>
      <c r="S30" s="145"/>
      <c r="T30" s="143"/>
      <c r="U30" s="145"/>
      <c r="V30" s="145"/>
      <c r="W30" s="145"/>
      <c r="X30" s="145"/>
      <c r="Y30" s="145"/>
      <c r="Z30" s="146"/>
      <c r="AA30" s="146"/>
      <c r="AB30" s="146"/>
      <c r="AC30" s="146"/>
      <c r="AD30" s="149" t="s">
        <v>169</v>
      </c>
      <c r="AE30" s="68" t="s">
        <v>280</v>
      </c>
      <c r="AF30" s="4"/>
      <c r="AG30" s="147">
        <f>VLOOKUP(H30,Cad.RateioConsumo!$B$4:$Z$106,8,FALSE)</f>
        <v>0.15</v>
      </c>
    </row>
    <row r="31" spans="1:33" ht="14.25" customHeight="1">
      <c r="A31" s="4"/>
      <c r="B31" s="4" t="str">
        <f t="shared" si="37"/>
        <v>3.7</v>
      </c>
      <c r="C31" s="4" t="str">
        <f t="shared" si="38"/>
        <v>Usina 3</v>
      </c>
      <c r="D31" s="108">
        <f t="shared" si="39"/>
        <v>1</v>
      </c>
      <c r="E31" s="108">
        <f t="shared" si="40"/>
        <v>28</v>
      </c>
      <c r="F31" s="108" t="s">
        <v>57</v>
      </c>
      <c r="G31" s="56">
        <f>VLOOKUP(F31,Cad.Usinas!$A$4:$B$6,2,FALSE)</f>
        <v>3023637013</v>
      </c>
      <c r="H31" s="109" t="s">
        <v>96</v>
      </c>
      <c r="I31" s="274" t="str">
        <f>VLOOKUP(H31,Cad.RateioConsumo!$B$4:$Z$106,2,FALSE)</f>
        <v>Fatima Abdel Hafiz Khalifa Cavalcanti</v>
      </c>
      <c r="J31" s="140"/>
      <c r="K31" s="141"/>
      <c r="L31" s="141"/>
      <c r="M31" s="111"/>
      <c r="N31" s="86"/>
      <c r="O31" s="142"/>
      <c r="P31" s="142"/>
      <c r="Q31" s="143"/>
      <c r="R31" s="144"/>
      <c r="S31" s="145"/>
      <c r="T31" s="143"/>
      <c r="U31" s="145"/>
      <c r="V31" s="145"/>
      <c r="W31" s="145"/>
      <c r="X31" s="145"/>
      <c r="Y31" s="145"/>
      <c r="Z31" s="146"/>
      <c r="AA31" s="146"/>
      <c r="AB31" s="146">
        <f t="shared" ref="AB31:AB33" si="47">SUMIF($J31:J$84,J31,$Q31:Q$84)</f>
        <v>0</v>
      </c>
      <c r="AC31" s="146">
        <f>IFERROR(VLOOKUP(B31,Hist.Consum!$B$5:$AD$120,23,FALSE),"")</f>
        <v>0.84319999999999995</v>
      </c>
      <c r="AD31" s="146" t="e">
        <f>IF((Y31/M31)&gt;1,"Mudar Urgente",IF((Y31/M31)&gt;0.4,"Rever Rateio",("ok")))</f>
        <v>#DIV/0!</v>
      </c>
      <c r="AE31" s="146"/>
      <c r="AF31" s="4"/>
      <c r="AG31" s="147">
        <f>VLOOKUP(H31,Cad.RateioConsumo!$B$4:$Z$106,8,FALSE)</f>
        <v>0.15</v>
      </c>
    </row>
    <row r="32" spans="1:33" ht="14.25" customHeight="1">
      <c r="A32" s="4"/>
      <c r="B32" s="4" t="str">
        <f t="shared" si="37"/>
        <v>3.001/2026</v>
      </c>
      <c r="C32" s="4" t="str">
        <f t="shared" si="38"/>
        <v>Usina 312/2025</v>
      </c>
      <c r="D32" s="108">
        <f t="shared" si="39"/>
        <v>0</v>
      </c>
      <c r="E32" s="108" t="str">
        <f t="shared" si="40"/>
        <v>N/A</v>
      </c>
      <c r="F32" s="108" t="s">
        <v>57</v>
      </c>
      <c r="G32" s="56">
        <f>VLOOKUP(F32,Cad.Usinas!$A$4:$B$6,2,FALSE)</f>
        <v>3023637013</v>
      </c>
      <c r="H32" s="109" t="s">
        <v>101</v>
      </c>
      <c r="I32" s="59" t="str">
        <f>VLOOKUP(H32,Cad.RateioConsumo!$B$4:$Z$106,2,FALSE)</f>
        <v>Usina 3</v>
      </c>
      <c r="J32" s="140">
        <f>VLOOKUP(H32,Cad.RateioConsumo!$B$4:$Z$106,5,FALSE)</f>
        <v>3023637013</v>
      </c>
      <c r="K32" s="141" t="s">
        <v>286</v>
      </c>
      <c r="L32" s="141" t="s">
        <v>143</v>
      </c>
      <c r="M32" s="111">
        <f>VLOOKUP(H32,Cad.RateioConsumo!$B$4:$Z$106,7,FALSE)</f>
        <v>8931.2331002331011</v>
      </c>
      <c r="N32" s="86">
        <f>ROUND(VLOOKUP(H32,Cad.RateioConsumo!$B$4:$Z$106,11,FALSE),4)</f>
        <v>0.67989999999999995</v>
      </c>
      <c r="O32" s="142">
        <f>IFERROR(ROUND(VLOOKUP(C32,Hist.Geração!$A$4:$F$64,4,FALSE)*N32,2)," ")</f>
        <v>9706.25</v>
      </c>
      <c r="P32" s="142">
        <f>IFERROR(VLOOKUP(B32,Hist.Consum!$B$5:$V$120,12,FALSE),"")</f>
        <v>0</v>
      </c>
      <c r="Q32" s="143">
        <f>IFERROR(VLOOKUP(B32,Hist.Consum!$B$5:$V$120,15,FALSE),"")</f>
        <v>0</v>
      </c>
      <c r="R32" s="144">
        <f>IFERROR(VLOOKUP(B32,Hist.Consum!$B$5:$W$120,22,FALSE),"")</f>
        <v>0.84319999999999995</v>
      </c>
      <c r="S32" s="145">
        <f t="shared" si="41"/>
        <v>0</v>
      </c>
      <c r="T32" s="143" t="str">
        <f>VLOOKUP(K32,Hist.BT!$A$4:$C$127,3,FALSE)</f>
        <v>Verde</v>
      </c>
      <c r="U32" s="145">
        <f>IFERROR(ROUND(VLOOKUP(T32,Hist.BT!$G$3:$I$6,3,FALSE)*Q32,2),"")</f>
        <v>0</v>
      </c>
      <c r="V32" s="145">
        <f t="shared" ref="V32" si="48">IFERROR(ROUND(SUM(S32+U32)*(1-AG32),2),"")</f>
        <v>0</v>
      </c>
      <c r="W32" s="145">
        <f t="shared" si="43"/>
        <v>0</v>
      </c>
      <c r="X32" s="145">
        <f t="shared" si="44"/>
        <v>9706.25</v>
      </c>
      <c r="Y32" s="145">
        <f t="shared" ref="Y32" si="49">SUMIF($J32:J$84,J32,$X32:X$84)</f>
        <v>84739.94</v>
      </c>
      <c r="Z32" s="146"/>
      <c r="AA32" s="146"/>
      <c r="AB32" s="146">
        <f t="shared" si="47"/>
        <v>0</v>
      </c>
      <c r="AC32" s="146">
        <f>IFERROR(VLOOKUP(B32,Hist.Consum!$B$5:$AD$120,23,FALSE),"")</f>
        <v>0</v>
      </c>
      <c r="AD32" s="146"/>
      <c r="AE32" s="146"/>
      <c r="AF32" s="4"/>
      <c r="AG32" s="147">
        <f>VLOOKUP(H32,Cad.RateioConsumo!$B$4:$Z$106,8,FALSE)</f>
        <v>0.15</v>
      </c>
    </row>
    <row r="33" spans="1:33" ht="14.25" customHeight="1">
      <c r="A33" s="4"/>
      <c r="B33" s="4" t="str">
        <f t="shared" si="37"/>
        <v/>
      </c>
      <c r="C33" s="4"/>
      <c r="D33" s="4"/>
      <c r="E33" s="4"/>
      <c r="F33" s="4"/>
      <c r="G33" s="4"/>
      <c r="H33" s="4"/>
      <c r="I33" s="4"/>
      <c r="J33" s="30"/>
      <c r="K33" s="30"/>
      <c r="L33" s="30"/>
      <c r="M33" s="4"/>
      <c r="N33" s="4"/>
      <c r="O33" s="4"/>
      <c r="P33" s="4"/>
      <c r="Q33" s="4"/>
      <c r="R33" s="4"/>
      <c r="S33" s="4"/>
      <c r="T33" s="4"/>
      <c r="U33" s="4"/>
      <c r="V33" s="4"/>
      <c r="W33" s="145">
        <f t="shared" si="43"/>
        <v>0</v>
      </c>
      <c r="X33" s="4"/>
      <c r="Y33" s="4"/>
      <c r="Z33" s="4"/>
      <c r="AA33" s="4"/>
      <c r="AB33" s="146">
        <f t="shared" si="47"/>
        <v>0</v>
      </c>
      <c r="AC33" s="146" t="str">
        <f>IFERROR(VLOOKUP(B33,Hist.Consum!$B$5:$AD$120,23,FALSE),"")</f>
        <v/>
      </c>
      <c r="AD33" s="146"/>
      <c r="AE33" s="146"/>
      <c r="AF33" s="4"/>
      <c r="AG33" s="147" t="e">
        <f>VLOOKUP(H33,Cad.RateioConsumo!$B$4:$Z$106,8,FALSE)</f>
        <v>#N/A</v>
      </c>
    </row>
    <row r="34" spans="1:33" ht="14.25" customHeight="1">
      <c r="A34" s="4"/>
      <c r="B34" s="4" t="str">
        <f t="shared" ref="B34:B84" si="50">H34&amp;K34</f>
        <v>1.012/2025</v>
      </c>
      <c r="C34" s="4" t="str">
        <f t="shared" ref="C34:C45" si="51">F34&amp;L34</f>
        <v>Usina 111/2025</v>
      </c>
      <c r="D34" s="108">
        <f t="shared" ref="D34:D45" si="52">IF(J34=G34,0,1)</f>
        <v>0</v>
      </c>
      <c r="E34" s="108" t="str">
        <f t="shared" ref="E34:E45" si="53">IF(D34=0,"N/A",SUM($D34:D$83))</f>
        <v>N/A</v>
      </c>
      <c r="F34" s="108" t="s">
        <v>49</v>
      </c>
      <c r="G34" s="56">
        <f>VLOOKUP(F34,Cad.Usinas!$A$4:$B$6,2,FALSE)</f>
        <v>3023633492</v>
      </c>
      <c r="H34" s="109" t="s">
        <v>114</v>
      </c>
      <c r="I34" s="59" t="str">
        <f>VLOOKUP(H34,Cad.RateioConsumo!$B$4:$Z$106,2,FALSE)</f>
        <v>Usina 1</v>
      </c>
      <c r="J34" s="140">
        <f>VLOOKUP(H34,Cad.RateioConsumo!$B$4:$Z$106,5,FALSE)</f>
        <v>3023633492</v>
      </c>
      <c r="K34" s="141" t="s">
        <v>143</v>
      </c>
      <c r="L34" s="141" t="s">
        <v>26</v>
      </c>
      <c r="M34" s="111">
        <f>VLOOKUP(H34,Cad.RateioConsumo!$B$4:$Z$106,7,FALSE)</f>
        <v>14000</v>
      </c>
      <c r="N34" s="86">
        <f>ROUND(VLOOKUP(H34,Cad.RateioConsumo!$B$4:$Z$106,11,FALSE),4)</f>
        <v>0.3201</v>
      </c>
      <c r="O34" s="142">
        <f>IFERROR(ROUND(VLOOKUP(C34,Hist.Geração!$A$4:$F$64,4,FALSE)*N34,2)," ")</f>
        <v>4946.1899999999996</v>
      </c>
      <c r="P34" s="142">
        <f>IFERROR(VLOOKUP(B34,Hist.Consum!$B$5:$V$120,12,FALSE),"")</f>
        <v>0</v>
      </c>
      <c r="Q34" s="143">
        <f>IFERROR(VLOOKUP(B34,Hist.Consum!$B$5:$V$120,15,FALSE),"")</f>
        <v>0</v>
      </c>
      <c r="R34" s="144">
        <f>IFERROR(VLOOKUP(B34,Hist.Consum!$B$5:$W$120,22,FALSE),"")</f>
        <v>1.1427</v>
      </c>
      <c r="S34" s="145">
        <f t="shared" ref="S34:S45" si="54">IFERROR(Q34*R34,"")</f>
        <v>0</v>
      </c>
      <c r="T34" s="143" t="str">
        <f>VLOOKUP(K34,Hist.BT!$A$4:$C$27,3,FALSE)</f>
        <v>Amarela</v>
      </c>
      <c r="U34" s="145">
        <f>IFERROR(ROUND(VLOOKUP(T34,Hist.BT!$G$3:$I$6,3,FALSE)*Q34,2),"")</f>
        <v>0</v>
      </c>
      <c r="V34" s="145">
        <f t="shared" ref="V34:V45" si="55">IFERROR(ROUND(SUM(S34+U34)*(1-AG34),2),"")</f>
        <v>0</v>
      </c>
      <c r="W34" s="145">
        <f t="shared" ref="W34:W75" si="56">S34+U34-V34</f>
        <v>0</v>
      </c>
      <c r="X34" s="145">
        <f t="shared" ref="X34:X45" si="57">O34-Q34</f>
        <v>4946.1899999999996</v>
      </c>
      <c r="Y34" s="145">
        <f t="shared" ref="Y34:Y41" si="58">SUMIF($J34:J$84,J34,$X34:X$84)</f>
        <v>30177.75</v>
      </c>
      <c r="Z34" s="146"/>
      <c r="AA34" s="146"/>
      <c r="AB34" s="146">
        <f>SUMIF(J34:$J$84,J34,Q34:$Q$84)</f>
        <v>0</v>
      </c>
      <c r="AC34" s="146">
        <f>IFERROR(VLOOKUP(B34,Hist.Consum!$B$5:$AD$120,23,FALSE),"")</f>
        <v>0</v>
      </c>
      <c r="AD34" s="146"/>
      <c r="AE34" s="146" t="str">
        <f>IFERROR(VLOOKUP(B34,Hist.Consum!$B$5:$AD$120,24,FALSE),"")</f>
        <v>A Equatorial cobrou errado uma tarida de GD2 , gerando itens que não são devidos: 1)Benefício Tarifário Bruto SCEE R$ 961,08 e 2) (-) Benefício Tarifário Líquido SCEE 702,62. O saldo deste valor foi dado como desconto para não te afetar os 15% de desconto na conta até que a Equatorial reverter esse valor.</v>
      </c>
      <c r="AF34" s="4"/>
      <c r="AG34" s="147">
        <f>VLOOKUP(H34,Cad.RateioConsumo!$B$4:$Z$106,8,FALSE)</f>
        <v>0.15</v>
      </c>
    </row>
    <row r="35" spans="1:33" ht="14.25" customHeight="1">
      <c r="A35" s="270" t="s">
        <v>284</v>
      </c>
      <c r="B35" s="4" t="str">
        <f t="shared" si="50"/>
        <v>2.112/2025</v>
      </c>
      <c r="C35" s="4" t="str">
        <f t="shared" si="51"/>
        <v>Usina 211/2025</v>
      </c>
      <c r="D35" s="108">
        <f t="shared" si="52"/>
        <v>1</v>
      </c>
      <c r="E35" s="108">
        <f t="shared" si="53"/>
        <v>27</v>
      </c>
      <c r="F35" s="108" t="s">
        <v>53</v>
      </c>
      <c r="G35" s="56">
        <f>VLOOKUP(F35,Cad.Usinas!$A$4:$B$6,2,FALSE)</f>
        <v>3023594470</v>
      </c>
      <c r="H35" s="109" t="s">
        <v>103</v>
      </c>
      <c r="I35" s="276" t="str">
        <f>VLOOKUP(H35,Cad.RateioConsumo!$B$4:$Z$106,2,FALSE)</f>
        <v>Lucas Medeiros Lima</v>
      </c>
      <c r="J35" s="140">
        <f>VLOOKUP(H35,Cad.RateioConsumo!$B$4:$Z$106,5,FALSE)</f>
        <v>3002796782</v>
      </c>
      <c r="K35" s="141" t="s">
        <v>143</v>
      </c>
      <c r="L35" s="141" t="s">
        <v>26</v>
      </c>
      <c r="M35" s="111">
        <f>VLOOKUP(H35,Cad.RateioConsumo!$B$4:$Z$106,7,FALSE)</f>
        <v>1536.5</v>
      </c>
      <c r="N35" s="86">
        <f>ROUND(VLOOKUP(H35,Cad.RateioConsumo!$B$4:$Z$106,11,FALSE),4)</f>
        <v>0.10979999999999999</v>
      </c>
      <c r="O35" s="142">
        <f>IFERROR(ROUND(VLOOKUP(C35,Hist.Geração!$A$4:$F$64,4,FALSE)*N35,2)," ")</f>
        <v>1739.12</v>
      </c>
      <c r="P35" s="142">
        <f>IFERROR(VLOOKUP(B35,Hist.Consum!$B$5:$V$120,12,FALSE),"")</f>
        <v>80</v>
      </c>
      <c r="Q35" s="143">
        <f>IFERROR(VLOOKUP(B35,Hist.Consum!$B$5:$V$120,15,FALSE),"")</f>
        <v>1123</v>
      </c>
      <c r="R35" s="144">
        <f>IFERROR(VLOOKUP(B35,Hist.Consum!$B$5:$W$120,22,FALSE),"")</f>
        <v>1.1427</v>
      </c>
      <c r="S35" s="145">
        <f t="shared" si="54"/>
        <v>1283.2521000000002</v>
      </c>
      <c r="T35" s="143" t="str">
        <f>VLOOKUP(K35,Hist.BT!$A$4:$C$27,3,FALSE)</f>
        <v>Amarela</v>
      </c>
      <c r="U35" s="145">
        <f>IFERROR(ROUND(VLOOKUP(T35,Hist.BT!$G$3:$I$6,3,FALSE)*Q35,2),"")</f>
        <v>27.49</v>
      </c>
      <c r="V35" s="145">
        <f t="shared" si="55"/>
        <v>1114.1300000000001</v>
      </c>
      <c r="W35" s="145">
        <f t="shared" si="56"/>
        <v>196.61210000000005</v>
      </c>
      <c r="X35" s="145">
        <f t="shared" si="57"/>
        <v>616.11999999999989</v>
      </c>
      <c r="Y35" s="145" t="e">
        <f t="shared" si="58"/>
        <v>#VALUE!</v>
      </c>
      <c r="Z35" s="146"/>
      <c r="AA35" s="146"/>
      <c r="AB35" s="146"/>
      <c r="AC35" s="146">
        <f>IFERROR(VLOOKUP(B35,Hist.Consum!$B$5:$AD$120,23,FALSE),"")</f>
        <v>379.6099999999999</v>
      </c>
      <c r="AD35" s="149" t="s">
        <v>168</v>
      </c>
      <c r="AE35" s="68" t="str">
        <f>IFERROR(VLOOKUP(B35,Hist.Consum!$B$5:$AD$120,24,FALSE),"")</f>
        <v>A Equatorial errou no faturamento e cobrou indevidamente uma tarifa adicional:1)Benefício Tarifário Bruto SCEE e 2) (-) Benefício Tarifário Líquido SCEE . O saldo deste valor foi dado como desconto para não te afetar os 15% de desconto na conta até que a Equatorial reverter esse valor.</v>
      </c>
      <c r="AF35" s="4"/>
      <c r="AG35" s="147">
        <f>VLOOKUP(H35,Cad.RateioConsumo!$B$4:$Z$106,8,FALSE)</f>
        <v>0.15</v>
      </c>
    </row>
    <row r="36" spans="1:33" ht="14.25" customHeight="1">
      <c r="A36" s="270" t="s">
        <v>284</v>
      </c>
      <c r="B36" s="4" t="str">
        <f t="shared" si="50"/>
        <v>2.212/2025</v>
      </c>
      <c r="C36" s="4" t="str">
        <f t="shared" si="51"/>
        <v>Usina 211/2025</v>
      </c>
      <c r="D36" s="108">
        <f t="shared" si="52"/>
        <v>1</v>
      </c>
      <c r="E36" s="108">
        <f t="shared" si="53"/>
        <v>26</v>
      </c>
      <c r="F36" s="108" t="s">
        <v>53</v>
      </c>
      <c r="G36" s="56">
        <f>VLOOKUP(F36,Cad.Usinas!$A$4:$B$6,2,FALSE)</f>
        <v>3023594470</v>
      </c>
      <c r="H36" s="109" t="s">
        <v>108</v>
      </c>
      <c r="I36" s="150" t="str">
        <f>VLOOKUP(H36,Cad.RateioConsumo!$B$4:$Z$106,2,FALSE)</f>
        <v>SORRISO SAUDE ODONTOLOGIA LTDA</v>
      </c>
      <c r="J36" s="140">
        <f>VLOOKUP(H36,Cad.RateioConsumo!$B$4:$Z$106,5,FALSE)</f>
        <v>3022893768</v>
      </c>
      <c r="K36" s="141" t="s">
        <v>143</v>
      </c>
      <c r="L36" s="141" t="s">
        <v>26</v>
      </c>
      <c r="M36" s="111">
        <f>VLOOKUP(H36,Cad.RateioConsumo!$B$4:$Z$106,7,FALSE)</f>
        <v>859</v>
      </c>
      <c r="N36" s="86">
        <f>ROUND(VLOOKUP(H36,Cad.RateioConsumo!$B$4:$Z$106,11,FALSE),4)</f>
        <v>6.1400000000000003E-2</v>
      </c>
      <c r="O36" s="142">
        <f>IFERROR(ROUND(VLOOKUP(C36,Hist.Geração!$A$4:$F$64,4,FALSE)*N36,2)," ")</f>
        <v>972.51</v>
      </c>
      <c r="P36" s="142">
        <f>IFERROR(VLOOKUP(B36,Hist.Consum!$B$5:$V$120,12,FALSE),"")</f>
        <v>0</v>
      </c>
      <c r="Q36" s="143">
        <f>IFERROR(VLOOKUP(B36,Hist.Consum!$B$5:$V$120,15,FALSE),"")</f>
        <v>917</v>
      </c>
      <c r="R36" s="144">
        <f>IFERROR(VLOOKUP(B36,Hist.Consum!$B$5:$W$120,22,FALSE),"")</f>
        <v>1.1427</v>
      </c>
      <c r="S36" s="145">
        <f t="shared" si="54"/>
        <v>1047.8559</v>
      </c>
      <c r="T36" s="143" t="str">
        <f>VLOOKUP(K36,Hist.BT!$A$4:$C$27,3,FALSE)</f>
        <v>Amarela</v>
      </c>
      <c r="U36" s="145">
        <f>IFERROR(ROUND(VLOOKUP(T36,Hist.BT!$G$3:$I$6,3,FALSE)*Q36,2),"")</f>
        <v>22.45</v>
      </c>
      <c r="V36" s="145">
        <f t="shared" si="55"/>
        <v>888.35</v>
      </c>
      <c r="W36" s="145">
        <f t="shared" si="56"/>
        <v>181.95590000000004</v>
      </c>
      <c r="X36" s="145">
        <f t="shared" si="57"/>
        <v>55.509999999999991</v>
      </c>
      <c r="Y36" s="145">
        <f t="shared" si="58"/>
        <v>196.26999999999998</v>
      </c>
      <c r="Z36" s="146"/>
      <c r="AA36" s="146"/>
      <c r="AB36" s="146"/>
      <c r="AC36" s="146">
        <f>IFERROR(VLOOKUP(B36,Hist.Consum!$B$5:$AD$120,23,FALSE),"")</f>
        <v>-321.57</v>
      </c>
      <c r="AD36" s="149" t="s">
        <v>168</v>
      </c>
      <c r="AE36" s="68" t="str">
        <f>IFERROR(VLOOKUP(B36,Hist.Consum!$B$5:$AD$120,24,FALSE),"")</f>
        <v>A Equatorial errou no faturamento e cobrou indevidamente uma tarifa adicional:1)Benefício Tarifário Bruto SCEE e 2) (-) Benefício Tarifário Líquido SCEE . O saldo deste valor foi dado como desconto para não te afetar os 15% de desconto na conta até que a Equatorial reverter esse valor.</v>
      </c>
      <c r="AF36" s="4"/>
      <c r="AG36" s="147">
        <f>VLOOKUP(H36,Cad.RateioConsumo!$B$4:$Z$106,8,FALSE)</f>
        <v>0.17</v>
      </c>
    </row>
    <row r="37" spans="1:33" ht="14.25" customHeight="1">
      <c r="A37" s="4"/>
      <c r="B37" s="4" t="str">
        <f t="shared" si="50"/>
        <v>2.012/2025</v>
      </c>
      <c r="C37" s="4" t="str">
        <f t="shared" si="51"/>
        <v>Usina 211/2025</v>
      </c>
      <c r="D37" s="108">
        <f t="shared" si="52"/>
        <v>0</v>
      </c>
      <c r="E37" s="108" t="str">
        <f t="shared" si="53"/>
        <v>N/A</v>
      </c>
      <c r="F37" s="108" t="s">
        <v>53</v>
      </c>
      <c r="G37" s="56">
        <f>VLOOKUP(F37,Cad.Usinas!$A$4:$B$6,2,FALSE)</f>
        <v>3023594470</v>
      </c>
      <c r="H37" s="109" t="s">
        <v>113</v>
      </c>
      <c r="I37" s="59" t="str">
        <f>VLOOKUP(H37,Cad.RateioConsumo!$B$4:$Z$106,2,FALSE)</f>
        <v>Usina 2</v>
      </c>
      <c r="J37" s="140">
        <f>VLOOKUP(H37,Cad.RateioConsumo!$B$4:$Z$106,5,FALSE)</f>
        <v>3023594470</v>
      </c>
      <c r="K37" s="141" t="s">
        <v>143</v>
      </c>
      <c r="L37" s="141" t="s">
        <v>26</v>
      </c>
      <c r="M37" s="111">
        <f>VLOOKUP(H37,Cad.RateioConsumo!$B$4:$Z$106,7,FALSE)</f>
        <v>14000</v>
      </c>
      <c r="N37" s="86">
        <f>VLOOKUP(H37,Cad.RateioConsumo!$B$4:$Z$106,11,FALSE)</f>
        <v>1</v>
      </c>
      <c r="O37" s="142">
        <f>IFERROR(ROUND(VLOOKUP(C37,Hist.Geração!$A$4:$F$64,4,FALSE)*N37,2)," ")</f>
        <v>15839</v>
      </c>
      <c r="P37" s="142">
        <f>IFERROR(VLOOKUP(B37,Hist.Consum!$B$5:$V$120,12,FALSE),"")</f>
        <v>0</v>
      </c>
      <c r="Q37" s="143">
        <f>IFERROR(VLOOKUP(B37,Hist.Consum!$B$5:$V$120,15,FALSE),"")</f>
        <v>0</v>
      </c>
      <c r="R37" s="144">
        <f>IFERROR(VLOOKUP(B37,Hist.Consum!$B$5:$W$120,22,FALSE),"")</f>
        <v>1.1427</v>
      </c>
      <c r="S37" s="145">
        <f t="shared" si="54"/>
        <v>0</v>
      </c>
      <c r="T37" s="143" t="str">
        <f>VLOOKUP(K37,Hist.BT!$A$4:$C$27,3,FALSE)</f>
        <v>Amarela</v>
      </c>
      <c r="U37" s="145">
        <f>IFERROR(ROUND(VLOOKUP(T37,Hist.BT!$G$3:$I$6,3,FALSE)*Q37,2),"")</f>
        <v>0</v>
      </c>
      <c r="V37" s="145">
        <f t="shared" si="55"/>
        <v>0</v>
      </c>
      <c r="W37" s="145">
        <f t="shared" si="56"/>
        <v>0</v>
      </c>
      <c r="X37" s="145">
        <f t="shared" si="57"/>
        <v>15839</v>
      </c>
      <c r="Y37" s="145">
        <f t="shared" si="58"/>
        <v>97570</v>
      </c>
      <c r="Z37" s="146"/>
      <c r="AA37" s="146"/>
      <c r="AB37" s="146">
        <f t="shared" ref="AB37:AB41" si="59">SUMIF($J37:J$84,J37,$Q37:Q$84)</f>
        <v>0</v>
      </c>
      <c r="AC37" s="146">
        <f>IFERROR(VLOOKUP(B37,Hist.Consum!$B$5:$AD$120,23,FALSE),"")</f>
        <v>0</v>
      </c>
      <c r="AD37" s="146"/>
      <c r="AE37" s="146"/>
      <c r="AF37" s="4"/>
      <c r="AG37" s="147">
        <f>VLOOKUP(H37,Cad.RateioConsumo!$B$4:$Z$106,8,FALSE)</f>
        <v>0.15</v>
      </c>
    </row>
    <row r="38" spans="1:33" ht="14.25" customHeight="1">
      <c r="A38" s="270" t="s">
        <v>284</v>
      </c>
      <c r="B38" s="4" t="str">
        <f t="shared" si="50"/>
        <v>3.112/2025</v>
      </c>
      <c r="C38" s="4" t="str">
        <f t="shared" si="51"/>
        <v>Usina 311/2025</v>
      </c>
      <c r="D38" s="108">
        <f t="shared" si="52"/>
        <v>1</v>
      </c>
      <c r="E38" s="108">
        <f t="shared" si="53"/>
        <v>25</v>
      </c>
      <c r="F38" s="108" t="s">
        <v>57</v>
      </c>
      <c r="G38" s="56">
        <f>VLOOKUP(F38,Cad.Usinas!$A$4:$B$6,2,FALSE)</f>
        <v>3023637013</v>
      </c>
      <c r="H38" s="109" t="s">
        <v>70</v>
      </c>
      <c r="I38" s="277" t="str">
        <f>VLOOKUP(H38,Cad.RateioConsumo!$B$4:$Z$106,2,FALSE)</f>
        <v>Associação dos Moradores do Residencial Araçagy</v>
      </c>
      <c r="J38" s="140">
        <f>VLOOKUP(H38,Cad.RateioConsumo!$B$4:$Z$106,5,FALSE)</f>
        <v>3021142432</v>
      </c>
      <c r="K38" s="141" t="s">
        <v>143</v>
      </c>
      <c r="L38" s="141" t="s">
        <v>26</v>
      </c>
      <c r="M38" s="151">
        <f>VLOOKUP(H38,Cad.RateioConsumo!$B$4:$Z$106,7,FALSE)</f>
        <v>205.36363636363637</v>
      </c>
      <c r="N38" s="86">
        <f>ROUND(VLOOKUP(H38,Cad.RateioConsumo!$B$4:$Z$106,11,FALSE),4)</f>
        <v>1.47E-2</v>
      </c>
      <c r="O38" s="142">
        <f>IFERROR(ROUND(VLOOKUP(C38,Hist.Geração!$A$4:$F$64,4,FALSE)*N38,2)," ")</f>
        <v>230.91</v>
      </c>
      <c r="P38" s="142">
        <f>IFERROR(VLOOKUP(B38,Hist.Consum!$B$5:$V$120,12,FALSE),"")</f>
        <v>100</v>
      </c>
      <c r="Q38" s="143">
        <f>IFERROR(VLOOKUP(B38,Hist.Consum!$B$5:$V$120,15,FALSE),"")</f>
        <v>120.86</v>
      </c>
      <c r="R38" s="144">
        <f>IFERROR(VLOOKUP(B38,Hist.Consum!$B$5:$W$120,22,FALSE),"")</f>
        <v>1.1427</v>
      </c>
      <c r="S38" s="145">
        <f t="shared" si="54"/>
        <v>138.10672200000002</v>
      </c>
      <c r="T38" s="143" t="str">
        <f>VLOOKUP(K38,Hist.BT!$A$4:$C$27,3,FALSE)</f>
        <v>Amarela</v>
      </c>
      <c r="U38" s="145">
        <f>IFERROR(ROUND(VLOOKUP(T38,Hist.BT!$G$3:$I$6,3,FALSE)*Q38,2),"")</f>
        <v>2.96</v>
      </c>
      <c r="V38" s="145">
        <f t="shared" si="55"/>
        <v>119.91</v>
      </c>
      <c r="W38" s="145">
        <f t="shared" si="56"/>
        <v>21.15672200000003</v>
      </c>
      <c r="X38" s="145">
        <f t="shared" si="57"/>
        <v>110.05</v>
      </c>
      <c r="Y38" s="145">
        <f t="shared" si="58"/>
        <v>176.31</v>
      </c>
      <c r="Z38" s="146"/>
      <c r="AA38" s="146"/>
      <c r="AB38" s="146">
        <f t="shared" si="59"/>
        <v>537.36</v>
      </c>
      <c r="AC38" s="146">
        <f>IFERROR(VLOOKUP(B38,Hist.Consum!$B$5:$AD$120,23,FALSE),"")</f>
        <v>0</v>
      </c>
      <c r="AD38" s="149" t="s">
        <v>169</v>
      </c>
      <c r="AE38" s="68" t="s">
        <v>170</v>
      </c>
      <c r="AF38" s="4"/>
      <c r="AG38" s="147">
        <f>VLOOKUP(H38,Cad.RateioConsumo!$B$4:$Z$106,8,FALSE)</f>
        <v>0.15</v>
      </c>
    </row>
    <row r="39" spans="1:33" ht="14.25" customHeight="1">
      <c r="A39" s="270" t="s">
        <v>284</v>
      </c>
      <c r="B39" s="4" t="str">
        <f t="shared" si="50"/>
        <v>3.212/2025</v>
      </c>
      <c r="C39" s="4" t="str">
        <f t="shared" si="51"/>
        <v>Usina 311/2025</v>
      </c>
      <c r="D39" s="108">
        <f t="shared" si="52"/>
        <v>1</v>
      </c>
      <c r="E39" s="108">
        <f t="shared" si="53"/>
        <v>24</v>
      </c>
      <c r="F39" s="108" t="s">
        <v>57</v>
      </c>
      <c r="G39" s="56">
        <f>VLOOKUP(F39,Cad.Usinas!$A$4:$B$6,2,FALSE)</f>
        <v>3023637013</v>
      </c>
      <c r="H39" s="109" t="s">
        <v>75</v>
      </c>
      <c r="I39" s="277" t="str">
        <f>VLOOKUP(H39,Cad.RateioConsumo!$B$4:$Z$106,2,FALSE)</f>
        <v>Associação dos Moradores do Residencial Araçagy</v>
      </c>
      <c r="J39" s="140">
        <f>VLOOKUP(H39,Cad.RateioConsumo!$B$4:$Z$106,5,FALSE)</f>
        <v>3021149593</v>
      </c>
      <c r="K39" s="141" t="s">
        <v>143</v>
      </c>
      <c r="L39" s="141" t="s">
        <v>26</v>
      </c>
      <c r="M39" s="111">
        <f>VLOOKUP(H39,Cad.RateioConsumo!$B$4:$Z$106,7,FALSE)</f>
        <v>734.33333333333337</v>
      </c>
      <c r="N39" s="86">
        <f>ROUND(VLOOKUP(H39,Cad.RateioConsumo!$B$4:$Z$106,11,FALSE),4)</f>
        <v>5.2499999999999998E-2</v>
      </c>
      <c r="O39" s="142">
        <f>IFERROR(ROUND(VLOOKUP(C39,Hist.Geração!$A$4:$F$64,4,FALSE)*N39,2)," ")</f>
        <v>824.67</v>
      </c>
      <c r="P39" s="142">
        <f>IFERROR(VLOOKUP(B39,Hist.Consum!$B$5:$V$120,12,FALSE),"")</f>
        <v>162.69</v>
      </c>
      <c r="Q39" s="143">
        <f>IFERROR(VLOOKUP(B39,Hist.Consum!$B$5:$V$120,15,FALSE),"")</f>
        <v>824.67</v>
      </c>
      <c r="R39" s="144">
        <f>IFERROR(VLOOKUP(B39,Hist.Consum!$B$5:$W$120,22,FALSE),"")</f>
        <v>1.1427</v>
      </c>
      <c r="S39" s="145">
        <f t="shared" si="54"/>
        <v>942.35040900000001</v>
      </c>
      <c r="T39" s="143" t="str">
        <f>VLOOKUP(K39,Hist.BT!$A$4:$C$27,3,FALSE)</f>
        <v>Amarela</v>
      </c>
      <c r="U39" s="145">
        <f>IFERROR(ROUND(VLOOKUP(T39,Hist.BT!$G$3:$I$6,3,FALSE)*Q39,2),"")</f>
        <v>20.190000000000001</v>
      </c>
      <c r="V39" s="145">
        <f t="shared" si="55"/>
        <v>818.16</v>
      </c>
      <c r="W39" s="145">
        <f t="shared" si="56"/>
        <v>144.3804090000001</v>
      </c>
      <c r="X39" s="145">
        <f t="shared" si="57"/>
        <v>0</v>
      </c>
      <c r="Y39" s="145">
        <f t="shared" si="58"/>
        <v>1.9999999999990692E-2</v>
      </c>
      <c r="Z39" s="146"/>
      <c r="AA39" s="146"/>
      <c r="AB39" s="146">
        <f t="shared" si="59"/>
        <v>2548.79</v>
      </c>
      <c r="AC39" s="146">
        <f>IFERROR(VLOOKUP(B39,Hist.Consum!$B$5:$AD$120,23,FALSE),"")</f>
        <v>0</v>
      </c>
      <c r="AD39" s="149" t="s">
        <v>169</v>
      </c>
      <c r="AE39" s="68" t="s">
        <v>170</v>
      </c>
      <c r="AF39" s="4"/>
      <c r="AG39" s="147">
        <f>VLOOKUP(H39,Cad.RateioConsumo!$B$4:$Z$106,8,FALSE)</f>
        <v>0.15</v>
      </c>
    </row>
    <row r="40" spans="1:33" ht="14.25" customHeight="1">
      <c r="A40" s="270" t="s">
        <v>284</v>
      </c>
      <c r="B40" s="4" t="str">
        <f t="shared" si="50"/>
        <v>3.312/2025</v>
      </c>
      <c r="C40" s="4" t="str">
        <f t="shared" si="51"/>
        <v>Usina 311/2025</v>
      </c>
      <c r="D40" s="108">
        <f t="shared" si="52"/>
        <v>1</v>
      </c>
      <c r="E40" s="108">
        <f t="shared" si="53"/>
        <v>23</v>
      </c>
      <c r="F40" s="108" t="s">
        <v>57</v>
      </c>
      <c r="G40" s="56">
        <f>VLOOKUP(F40,Cad.Usinas!$A$4:$B$6,2,FALSE)</f>
        <v>3023637013</v>
      </c>
      <c r="H40" s="109" t="s">
        <v>77</v>
      </c>
      <c r="I40" s="277" t="str">
        <f>VLOOKUP(H40,Cad.RateioConsumo!$B$4:$Z$106,2,FALSE)</f>
        <v>Associação dos Moradores do Residencial Araçagy</v>
      </c>
      <c r="J40" s="140">
        <f>VLOOKUP(H40,Cad.RateioConsumo!$B$4:$Z$106,5,FALSE)</f>
        <v>3021150559</v>
      </c>
      <c r="K40" s="141" t="s">
        <v>143</v>
      </c>
      <c r="L40" s="141" t="s">
        <v>26</v>
      </c>
      <c r="M40" s="111">
        <f>VLOOKUP(H40,Cad.RateioConsumo!$B$4:$Z$106,7,FALSE)</f>
        <v>2086.4545454545455</v>
      </c>
      <c r="N40" s="86">
        <f>ROUND(VLOOKUP(H40,Cad.RateioConsumo!$B$4:$Z$106,11,FALSE),4)</f>
        <v>0.107</v>
      </c>
      <c r="O40" s="142">
        <f>IFERROR(ROUND(VLOOKUP(C40,Hist.Geração!$A$4:$F$64,4,FALSE)*N40,2)," ")</f>
        <v>1680.76</v>
      </c>
      <c r="P40" s="142">
        <f>IFERROR(VLOOKUP(B40,Hist.Consum!$B$5:$V$120,12,FALSE),"")</f>
        <v>374.43</v>
      </c>
      <c r="Q40" s="143">
        <f>IFERROR(VLOOKUP(B40,Hist.Consum!$B$5:$V$120,15,FALSE),"")</f>
        <v>1682.32</v>
      </c>
      <c r="R40" s="144">
        <f>IFERROR(VLOOKUP(B40,Hist.Consum!$B$5:$W$120,22,FALSE),"")</f>
        <v>1.1427</v>
      </c>
      <c r="S40" s="145">
        <f t="shared" si="54"/>
        <v>1922.387064</v>
      </c>
      <c r="T40" s="143" t="str">
        <f>VLOOKUP(K40,Hist.BT!$A$4:$C$27,3,FALSE)</f>
        <v>Amarela</v>
      </c>
      <c r="U40" s="145">
        <f>IFERROR(ROUND(VLOOKUP(T40,Hist.BT!$G$3:$I$6,3,FALSE)*Q40,2),"")</f>
        <v>41.18</v>
      </c>
      <c r="V40" s="145">
        <f t="shared" si="55"/>
        <v>1669.03</v>
      </c>
      <c r="W40" s="145">
        <f t="shared" si="56"/>
        <v>294.5370640000001</v>
      </c>
      <c r="X40" s="145">
        <f t="shared" si="57"/>
        <v>-1.5599999999999454</v>
      </c>
      <c r="Y40" s="145">
        <f t="shared" si="58"/>
        <v>-1.5499999999999545</v>
      </c>
      <c r="Z40" s="146"/>
      <c r="AA40" s="146"/>
      <c r="AB40" s="146">
        <f t="shared" si="59"/>
        <v>6568.29</v>
      </c>
      <c r="AC40" s="146">
        <f>IFERROR(VLOOKUP(B40,Hist.Consum!$B$5:$AD$120,23,FALSE),"")</f>
        <v>0</v>
      </c>
      <c r="AD40" s="149" t="s">
        <v>169</v>
      </c>
      <c r="AE40" s="68" t="s">
        <v>170</v>
      </c>
      <c r="AF40" s="4"/>
      <c r="AG40" s="147">
        <f>VLOOKUP(H40,Cad.RateioConsumo!$B$4:$Z$106,8,FALSE)</f>
        <v>0.15</v>
      </c>
    </row>
    <row r="41" spans="1:33" ht="14.25" customHeight="1">
      <c r="A41" s="270" t="s">
        <v>284</v>
      </c>
      <c r="B41" s="4" t="str">
        <f t="shared" si="50"/>
        <v>3.412/2025</v>
      </c>
      <c r="C41" s="4" t="str">
        <f t="shared" si="51"/>
        <v>Usina 311/2025</v>
      </c>
      <c r="D41" s="108">
        <f t="shared" si="52"/>
        <v>1</v>
      </c>
      <c r="E41" s="108">
        <f t="shared" si="53"/>
        <v>22</v>
      </c>
      <c r="F41" s="108" t="s">
        <v>57</v>
      </c>
      <c r="G41" s="56">
        <f>VLOOKUP(F41,Cad.Usinas!$A$4:$B$6,2,FALSE)</f>
        <v>3023637013</v>
      </c>
      <c r="H41" s="109" t="s">
        <v>82</v>
      </c>
      <c r="I41" s="277" t="str">
        <f>VLOOKUP(H41,Cad.RateioConsumo!$B$4:$Z$106,2,FALSE)</f>
        <v>Antonio Jose Souza Filho</v>
      </c>
      <c r="J41" s="140">
        <f>VLOOKUP(H41,Cad.RateioConsumo!$B$4:$Z$106,5,FALSE)</f>
        <v>3007625048</v>
      </c>
      <c r="K41" s="141" t="s">
        <v>143</v>
      </c>
      <c r="L41" s="141" t="s">
        <v>26</v>
      </c>
      <c r="M41" s="111">
        <f>VLOOKUP(H41,Cad.RateioConsumo!$B$4:$Z$106,7,FALSE)</f>
        <v>417.15384615384613</v>
      </c>
      <c r="N41" s="86">
        <f>ROUND(VLOOKUP(H41,Cad.RateioConsumo!$B$4:$Z$106,11,FALSE),4)</f>
        <v>2.98E-2</v>
      </c>
      <c r="O41" s="142">
        <f>IFERROR(ROUND(VLOOKUP(C41,Hist.Geração!$A$4:$F$64,4,FALSE)*N41,2)," ")</f>
        <v>468.1</v>
      </c>
      <c r="P41" s="142">
        <f>IFERROR(VLOOKUP(B41,Hist.Consum!$B$5:$V$120,12,FALSE),"")</f>
        <v>30</v>
      </c>
      <c r="Q41" s="143">
        <f>IFERROR(VLOOKUP(B41,Hist.Consum!$B$5:$V$120,15,FALSE),"")</f>
        <v>452</v>
      </c>
      <c r="R41" s="144">
        <f>IFERROR(VLOOKUP(B41,Hist.Consum!$B$5:$W$120,22,FALSE),"")</f>
        <v>1.1427</v>
      </c>
      <c r="S41" s="145">
        <f t="shared" si="54"/>
        <v>516.50040000000001</v>
      </c>
      <c r="T41" s="143" t="str">
        <f>VLOOKUP(K41,Hist.BT!$A$4:$C$27,3,FALSE)</f>
        <v>Amarela</v>
      </c>
      <c r="U41" s="145">
        <f>IFERROR(ROUND(VLOOKUP(T41,Hist.BT!$G$3:$I$6,3,FALSE)*Q41,2),"")</f>
        <v>11.07</v>
      </c>
      <c r="V41" s="145">
        <f t="shared" si="55"/>
        <v>448.43</v>
      </c>
      <c r="W41" s="145">
        <f t="shared" si="56"/>
        <v>79.140400000000056</v>
      </c>
      <c r="X41" s="145">
        <f t="shared" si="57"/>
        <v>16.100000000000023</v>
      </c>
      <c r="Y41" s="145">
        <f t="shared" si="58"/>
        <v>16.100000000000051</v>
      </c>
      <c r="Z41" s="146"/>
      <c r="AA41" s="146"/>
      <c r="AB41" s="146">
        <f t="shared" si="59"/>
        <v>1430.65</v>
      </c>
      <c r="AC41" s="146">
        <f>IFERROR(VLOOKUP(B41,Hist.Consum!$B$5:$AD$120,23,FALSE),"")</f>
        <v>0</v>
      </c>
      <c r="AD41" s="149" t="s">
        <v>169</v>
      </c>
      <c r="AE41" s="68" t="s">
        <v>170</v>
      </c>
      <c r="AF41" s="4"/>
      <c r="AG41" s="147">
        <f>VLOOKUP(H41,Cad.RateioConsumo!$B$4:$Z$106,8,FALSE)</f>
        <v>0.15</v>
      </c>
    </row>
    <row r="42" spans="1:33" ht="14.25" customHeight="1">
      <c r="A42" s="4"/>
      <c r="B42" s="4" t="str">
        <f t="shared" si="50"/>
        <v>3.5</v>
      </c>
      <c r="C42" s="4" t="str">
        <f t="shared" si="51"/>
        <v>Usina 3</v>
      </c>
      <c r="D42" s="108">
        <f t="shared" si="52"/>
        <v>1</v>
      </c>
      <c r="E42" s="108">
        <f t="shared" si="53"/>
        <v>21</v>
      </c>
      <c r="F42" s="108" t="s">
        <v>57</v>
      </c>
      <c r="G42" s="56">
        <f>VLOOKUP(F42,Cad.Usinas!$A$4:$B$6,2,FALSE)</f>
        <v>3023637013</v>
      </c>
      <c r="H42" s="109" t="s">
        <v>87</v>
      </c>
      <c r="I42" s="59" t="str">
        <f>VLOOKUP(H42,Cad.RateioConsumo!$B$4:$Z$106,2,FALSE)</f>
        <v>João Carlos Pereira Dutra Filho</v>
      </c>
      <c r="J42" s="140"/>
      <c r="K42" s="141"/>
      <c r="L42" s="141"/>
      <c r="M42" s="111"/>
      <c r="N42" s="86"/>
      <c r="O42" s="142"/>
      <c r="P42" s="142"/>
      <c r="Q42" s="143"/>
      <c r="R42" s="144"/>
      <c r="S42" s="145"/>
      <c r="T42" s="143"/>
      <c r="U42" s="145"/>
      <c r="V42" s="145"/>
      <c r="W42" s="145"/>
      <c r="X42" s="145"/>
      <c r="Y42" s="145"/>
      <c r="Z42" s="146"/>
      <c r="AA42" s="146"/>
      <c r="AB42" s="146">
        <f>SUMIF(J34:$J$84,J42,Q34:$Q$84)</f>
        <v>0</v>
      </c>
      <c r="AC42" s="146">
        <f>IFERROR(VLOOKUP(B42,Hist.Consum!$B$5:$AD$120,23,FALSE),"")</f>
        <v>0</v>
      </c>
      <c r="AD42" s="146" t="e">
        <f>IF((Y42/M42)&gt;1,"Mudar Urgente",IF((Y42/M42)&gt;0.4,"Rever Rateio",("ok")))</f>
        <v>#DIV/0!</v>
      </c>
      <c r="AE42" s="146"/>
      <c r="AF42" s="4"/>
      <c r="AG42" s="147">
        <f>VLOOKUP(H42,Cad.RateioConsumo!$B$4:$Z$106,8,FALSE)</f>
        <v>0.15</v>
      </c>
    </row>
    <row r="43" spans="1:33" ht="14.25" customHeight="1">
      <c r="A43" s="270" t="s">
        <v>284</v>
      </c>
      <c r="B43" s="4" t="str">
        <f t="shared" si="50"/>
        <v>3.612/2025</v>
      </c>
      <c r="C43" s="4" t="str">
        <f t="shared" si="51"/>
        <v>Usina 311/2025</v>
      </c>
      <c r="D43" s="108">
        <f t="shared" si="52"/>
        <v>1</v>
      </c>
      <c r="E43" s="108">
        <f t="shared" si="53"/>
        <v>20</v>
      </c>
      <c r="F43" s="108" t="s">
        <v>57</v>
      </c>
      <c r="G43" s="56">
        <f>VLOOKUP(F43,Cad.Usinas!$A$4:$B$6,2,FALSE)</f>
        <v>3023637013</v>
      </c>
      <c r="H43" s="109" t="s">
        <v>92</v>
      </c>
      <c r="I43" s="257" t="str">
        <f>VLOOKUP(H43,Cad.RateioConsumo!$B$4:$Z$106,2,FALSE)</f>
        <v>Patricia Maria Abreu Machado</v>
      </c>
      <c r="J43" s="140">
        <f>VLOOKUP(H43,Cad.RateioConsumo!$B$4:$Z$106,5,FALSE)</f>
        <v>3006793931</v>
      </c>
      <c r="K43" s="141" t="s">
        <v>143</v>
      </c>
      <c r="L43" s="141" t="s">
        <v>26</v>
      </c>
      <c r="M43" s="111">
        <f>VLOOKUP(H43,Cad.RateioConsumo!$B$4:$Z$106,7,FALSE)</f>
        <v>776.76923076923072</v>
      </c>
      <c r="N43" s="86">
        <f>ROUND(VLOOKUP(H43,Cad.RateioConsumo!$B$4:$Z$106,11,FALSE),4)</f>
        <v>5.5500000000000001E-2</v>
      </c>
      <c r="O43" s="142">
        <f>IFERROR(ROUND(VLOOKUP(C43,Hist.Geração!$A$4:$F$64,4,FALSE)*N43,2)," ")</f>
        <v>871.79</v>
      </c>
      <c r="P43" s="142">
        <f>IFERROR(VLOOKUP(B43,Hist.Consum!$B$5:$V$120,12,FALSE),"")</f>
        <v>210.2</v>
      </c>
      <c r="Q43" s="143">
        <f>IFERROR(VLOOKUP(B43,Hist.Consum!$B$5:$V$120,15,FALSE),"")</f>
        <v>871.79</v>
      </c>
      <c r="R43" s="144">
        <f>IFERROR(VLOOKUP(B43,Hist.Consum!$B$5:$W$120,22,FALSE),"")</f>
        <v>1.1427</v>
      </c>
      <c r="S43" s="145">
        <f t="shared" si="54"/>
        <v>996.194433</v>
      </c>
      <c r="T43" s="143" t="str">
        <f>VLOOKUP(K43,Hist.BT!$A$4:$C$27,3,FALSE)</f>
        <v>Amarela</v>
      </c>
      <c r="U43" s="145">
        <f>IFERROR(ROUND(VLOOKUP(T43,Hist.BT!$G$3:$I$6,3,FALSE)*Q43,2),"")</f>
        <v>21.34</v>
      </c>
      <c r="V43" s="145">
        <f>IFERROR(ROUND(SUM(S43+U43)*(1-AG43),2),"")</f>
        <v>864.9</v>
      </c>
      <c r="W43" s="145">
        <f t="shared" si="56"/>
        <v>152.63443300000006</v>
      </c>
      <c r="X43" s="145">
        <f t="shared" si="57"/>
        <v>0</v>
      </c>
      <c r="Y43" s="145">
        <f t="shared" ref="Y43:Y45" si="60">SUMIF($J43:J$84,J43,$X43:X$84)</f>
        <v>0</v>
      </c>
      <c r="Z43" s="146"/>
      <c r="AA43" s="146"/>
      <c r="AB43" s="146">
        <f t="shared" ref="AB43:AB47" si="61">SUMIF($J43:J$84,J43,$Q43:Q$84)</f>
        <v>881.43</v>
      </c>
      <c r="AC43" s="146" t="str">
        <f>IFERROR(VLOOKUP(B43,Hist.Consum!$B$5:$AD$120,23,FALSE),"")</f>
        <v>O contrato foi feito com base no consumo médio de 777 kwh e em dezembro foi consumido energia maior que a média por isso a energia paga pela Equatorial foi maior. Se existir uma tendência de aumento do consumo da energia favor nos informar para ajustarmos o contrato.</v>
      </c>
      <c r="AD43" s="149" t="s">
        <v>169</v>
      </c>
      <c r="AE43" s="68" t="s">
        <v>280</v>
      </c>
      <c r="AF43" s="4"/>
      <c r="AG43" s="147">
        <f>VLOOKUP(H43,Cad.RateioConsumo!$B$4:$Z$106,8,FALSE)</f>
        <v>0.15</v>
      </c>
    </row>
    <row r="44" spans="1:33" ht="14.25" customHeight="1">
      <c r="A44" s="270" t="s">
        <v>284</v>
      </c>
      <c r="B44" s="4" t="str">
        <f t="shared" si="50"/>
        <v>3.712/2025</v>
      </c>
      <c r="C44" s="4" t="str">
        <f t="shared" si="51"/>
        <v>Usina 311/2025</v>
      </c>
      <c r="D44" s="108">
        <f t="shared" si="52"/>
        <v>1</v>
      </c>
      <c r="E44" s="108">
        <f t="shared" si="53"/>
        <v>19</v>
      </c>
      <c r="F44" s="108" t="s">
        <v>57</v>
      </c>
      <c r="G44" s="56">
        <f>VLOOKUP(F44,Cad.Usinas!$A$4:$B$6,2,FALSE)</f>
        <v>3023637013</v>
      </c>
      <c r="H44" s="109" t="s">
        <v>96</v>
      </c>
      <c r="I44" s="59" t="str">
        <f>VLOOKUP(H44,Cad.RateioConsumo!$B$4:$Z$106,2,FALSE)</f>
        <v>Fatima Abdel Hafiz Khalifa Cavalcanti</v>
      </c>
      <c r="J44" s="140">
        <f>VLOOKUP(H44,Cad.RateioConsumo!$B$4:$Z$106,5,FALSE)</f>
        <v>38398091</v>
      </c>
      <c r="K44" s="141" t="s">
        <v>143</v>
      </c>
      <c r="L44" s="141" t="s">
        <v>26</v>
      </c>
      <c r="M44" s="111">
        <f>VLOOKUP(H44,Cad.RateioConsumo!$B$4:$Z$106,7,FALSE)</f>
        <v>1013.3846153846154</v>
      </c>
      <c r="N44" s="86">
        <f>ROUND(VLOOKUP(H44,Cad.RateioConsumo!$B$4:$Z$106,11,FALSE),4)</f>
        <v>7.2400000000000006E-2</v>
      </c>
      <c r="O44" s="142">
        <f>IFERROR(ROUND(VLOOKUP(C44,Hist.Geração!$A$4:$F$64,4,FALSE)*N44,2)," ")</f>
        <v>1137.26</v>
      </c>
      <c r="P44" s="142">
        <f>IFERROR(VLOOKUP(B44,Hist.Consum!$B$5:$V$120,12,FALSE),"")</f>
        <v>30</v>
      </c>
      <c r="Q44" s="143">
        <f>IFERROR(VLOOKUP(B44,Hist.Consum!$B$5:$V$120,15,FALSE),"")</f>
        <v>1096</v>
      </c>
      <c r="R44" s="144">
        <f>IFERROR(VLOOKUP(B44,Hist.Consum!$B$5:$W$120,22,FALSE),"")</f>
        <v>1.1427</v>
      </c>
      <c r="S44" s="145">
        <f t="shared" si="54"/>
        <v>1252.3992000000001</v>
      </c>
      <c r="T44" s="143" t="str">
        <f>VLOOKUP(K44,Hist.BT!$A$4:$C$27,3,FALSE)</f>
        <v>Amarela</v>
      </c>
      <c r="U44" s="145">
        <f>IFERROR(ROUND(VLOOKUP(T44,Hist.BT!$G$3:$I$6,3,FALSE)*Q44,2),"")</f>
        <v>26.83</v>
      </c>
      <c r="V44" s="145">
        <f t="shared" si="55"/>
        <v>1087.3399999999999</v>
      </c>
      <c r="W44" s="145">
        <f t="shared" si="56"/>
        <v>191.88920000000007</v>
      </c>
      <c r="X44" s="145">
        <f t="shared" si="57"/>
        <v>41.259999999999991</v>
      </c>
      <c r="Y44" s="145">
        <f t="shared" si="60"/>
        <v>41.269999999999989</v>
      </c>
      <c r="Z44" s="146"/>
      <c r="AA44" s="146"/>
      <c r="AB44" s="146">
        <f t="shared" si="61"/>
        <v>1108.57</v>
      </c>
      <c r="AC44" s="146">
        <f>IFERROR(VLOOKUP(B44,Hist.Consum!$B$5:$AD$120,23,FALSE),"")</f>
        <v>7.0000000000014495E-4</v>
      </c>
      <c r="AD44" s="146" t="str">
        <f>IF((Y44/M44)&gt;1,"Mudar Urgente",IF((Y44/M44)&gt;0.4,"Rever Rateio",("ok")))</f>
        <v>ok</v>
      </c>
      <c r="AE44" s="146"/>
      <c r="AF44" s="4"/>
      <c r="AG44" s="147">
        <f>VLOOKUP(H44,Cad.RateioConsumo!$B$4:$Z$106,8,FALSE)</f>
        <v>0.15</v>
      </c>
    </row>
    <row r="45" spans="1:33" ht="14.25" customHeight="1">
      <c r="A45" s="4"/>
      <c r="B45" s="4" t="str">
        <f t="shared" si="50"/>
        <v>3.012/2025</v>
      </c>
      <c r="C45" s="4" t="str">
        <f t="shared" si="51"/>
        <v>Usina 311/2025</v>
      </c>
      <c r="D45" s="108">
        <f t="shared" si="52"/>
        <v>0</v>
      </c>
      <c r="E45" s="108" t="str">
        <f t="shared" si="53"/>
        <v>N/A</v>
      </c>
      <c r="F45" s="108" t="s">
        <v>57</v>
      </c>
      <c r="G45" s="56">
        <f>VLOOKUP(F45,Cad.Usinas!$A$4:$B$6,2,FALSE)</f>
        <v>3023637013</v>
      </c>
      <c r="H45" s="109" t="s">
        <v>101</v>
      </c>
      <c r="I45" s="33" t="str">
        <f>VLOOKUP(H45,Cad.RateioConsumo!$B$4:$Z$106,2,FALSE)</f>
        <v>Usina 3</v>
      </c>
      <c r="J45" s="140">
        <f>VLOOKUP(H45,Cad.RateioConsumo!$B$4:$Z$106,5,FALSE)</f>
        <v>3023637013</v>
      </c>
      <c r="K45" s="141" t="s">
        <v>143</v>
      </c>
      <c r="L45" s="141" t="s">
        <v>26</v>
      </c>
      <c r="M45" s="111">
        <f>VLOOKUP(H45,Cad.RateioConsumo!$B$4:$Z$106,7,FALSE)</f>
        <v>8931.2331002331011</v>
      </c>
      <c r="N45" s="86">
        <f>ROUND(VLOOKUP(H45,Cad.RateioConsumo!$B$4:$Z$106,11,FALSE),4)</f>
        <v>0.67989999999999995</v>
      </c>
      <c r="O45" s="142">
        <f>IFERROR(ROUND(VLOOKUP(C45,Hist.Geração!$A$4:$F$64,4,FALSE)*N45,2)," ")</f>
        <v>10679.87</v>
      </c>
      <c r="P45" s="142">
        <f>IFERROR(VLOOKUP(B45,Hist.Consum!$B$5:$V$120,12,FALSE),"")</f>
        <v>0</v>
      </c>
      <c r="Q45" s="143">
        <f>IFERROR(VLOOKUP(B45,Hist.Consum!$B$5:$V$120,15,FALSE),"")</f>
        <v>0</v>
      </c>
      <c r="R45" s="144">
        <f>IFERROR(VLOOKUP(B45,Hist.Consum!$B$5:$W$120,22,FALSE),"")</f>
        <v>1.1427</v>
      </c>
      <c r="S45" s="145">
        <f t="shared" si="54"/>
        <v>0</v>
      </c>
      <c r="T45" s="143" t="str">
        <f>VLOOKUP(K45,Hist.BT!$A$4:$C$27,3,FALSE)</f>
        <v>Amarela</v>
      </c>
      <c r="U45" s="145">
        <f>IFERROR(ROUND(VLOOKUP(T45,Hist.BT!$G$3:$I$6,3,FALSE)*Q45,2),"")</f>
        <v>0</v>
      </c>
      <c r="V45" s="145">
        <f t="shared" si="55"/>
        <v>0</v>
      </c>
      <c r="W45" s="145">
        <f t="shared" si="56"/>
        <v>0</v>
      </c>
      <c r="X45" s="145">
        <f t="shared" si="57"/>
        <v>10679.87</v>
      </c>
      <c r="Y45" s="145">
        <f t="shared" si="60"/>
        <v>75033.69</v>
      </c>
      <c r="Z45" s="146"/>
      <c r="AA45" s="146"/>
      <c r="AB45" s="146">
        <f t="shared" si="61"/>
        <v>0</v>
      </c>
      <c r="AC45" s="146">
        <f>IFERROR(VLOOKUP(B45,Hist.Consum!$B$5:$AD$120,23,FALSE),"")</f>
        <v>0</v>
      </c>
      <c r="AD45" s="146"/>
      <c r="AE45" s="146"/>
      <c r="AF45" s="4"/>
      <c r="AG45" s="147">
        <f>VLOOKUP(H45,Cad.RateioConsumo!$B$4:$Z$106,8,FALSE)</f>
        <v>0.15</v>
      </c>
    </row>
    <row r="46" spans="1:33" ht="14.25" customHeight="1">
      <c r="A46" s="4"/>
      <c r="B46" s="4" t="str">
        <f t="shared" si="50"/>
        <v/>
      </c>
      <c r="C46" s="4"/>
      <c r="D46" s="4"/>
      <c r="E46" s="4"/>
      <c r="F46" s="4"/>
      <c r="G46" s="4"/>
      <c r="H46" s="4"/>
      <c r="I46" s="4"/>
      <c r="J46" s="30"/>
      <c r="K46" s="30"/>
      <c r="L46" s="30"/>
      <c r="M46" s="4"/>
      <c r="N46" s="4"/>
      <c r="O46" s="4"/>
      <c r="P46" s="4"/>
      <c r="Q46" s="4"/>
      <c r="R46" s="4"/>
      <c r="S46" s="4"/>
      <c r="T46" s="4"/>
      <c r="U46" s="4"/>
      <c r="V46" s="4"/>
      <c r="W46" s="145">
        <f t="shared" si="56"/>
        <v>0</v>
      </c>
      <c r="X46" s="4"/>
      <c r="Y46" s="4"/>
      <c r="Z46" s="4"/>
      <c r="AA46" s="4"/>
      <c r="AB46" s="146">
        <f t="shared" si="61"/>
        <v>0</v>
      </c>
      <c r="AC46" s="146" t="str">
        <f>IFERROR(VLOOKUP(B46,Hist.Consum!$B$5:$AD$120,23,FALSE),"")</f>
        <v/>
      </c>
      <c r="AD46" s="146"/>
      <c r="AE46" s="146"/>
      <c r="AF46" s="4"/>
      <c r="AG46" s="147" t="e">
        <f>VLOOKUP(H46,Cad.RateioConsumo!$B$4:$Z$106,8,FALSE)</f>
        <v>#N/A</v>
      </c>
    </row>
    <row r="47" spans="1:33" ht="14.25" customHeight="1">
      <c r="A47" s="4"/>
      <c r="B47" s="4" t="str">
        <f t="shared" si="50"/>
        <v>1.011/2025</v>
      </c>
      <c r="C47" s="4" t="str">
        <f t="shared" ref="C47:C58" si="62">F47&amp;L47</f>
        <v>Usina 110/2025</v>
      </c>
      <c r="D47" s="108">
        <f t="shared" ref="D47:D58" si="63">IF(J47=G47,0,1)</f>
        <v>0</v>
      </c>
      <c r="E47" s="108" t="str">
        <f t="shared" ref="E47:E58" si="64">IF(D47=0,"N/A",SUM($D47:D$83))</f>
        <v>N/A</v>
      </c>
      <c r="F47" s="108" t="s">
        <v>49</v>
      </c>
      <c r="G47" s="56">
        <f>VLOOKUP(F47,Cad.Usinas!$A$4:$B$6,2,FALSE)</f>
        <v>3023633492</v>
      </c>
      <c r="H47" s="109" t="s">
        <v>114</v>
      </c>
      <c r="I47" s="59" t="str">
        <f>VLOOKUP(H47,Cad.RateioConsumo!$B$4:$Z$106,2,FALSE)</f>
        <v>Usina 1</v>
      </c>
      <c r="J47" s="140">
        <f>VLOOKUP(H47,Cad.RateioConsumo!$B$4:$Z$106,5,FALSE)</f>
        <v>3023633492</v>
      </c>
      <c r="K47" s="141" t="s">
        <v>26</v>
      </c>
      <c r="L47" s="141" t="s">
        <v>125</v>
      </c>
      <c r="M47" s="111">
        <f>VLOOKUP(H47,Cad.RateioConsumo!$B$4:$Z$106,7,FALSE)</f>
        <v>14000</v>
      </c>
      <c r="N47" s="86">
        <f>VLOOKUP(H47,Cad.RateioConsumo!$B$4:$Z$106,11,FALSE)</f>
        <v>0.32010000000000005</v>
      </c>
      <c r="O47" s="142">
        <f>IFERROR(ROUND(VLOOKUP(C47,Hist.Geração!$A$4:$F$64,4,FALSE)*N47,2)," ")</f>
        <v>5164.8100000000004</v>
      </c>
      <c r="P47" s="142">
        <f>IFERROR(VLOOKUP(B47,Hist.Consum!$B$5:$V$120,12,FALSE),"")</f>
        <v>0</v>
      </c>
      <c r="Q47" s="143">
        <f>IFERROR(VLOOKUP(B47,Hist.Consum!$B$5:$V$120,15,FALSE),"")</f>
        <v>0</v>
      </c>
      <c r="R47" s="144">
        <f>IFERROR(VLOOKUP(B47,Hist.Consum!$B$5:$W$120,22,FALSE),"")</f>
        <v>1.1719999999999999</v>
      </c>
      <c r="S47" s="145">
        <f t="shared" ref="S47:S58" si="65">IFERROR(Q47*R47,"")</f>
        <v>0</v>
      </c>
      <c r="T47" s="143" t="str">
        <f>VLOOKUP(K47,Hist.BT!$A$4:$C$27,3,FALSE)</f>
        <v>Vermelha 1</v>
      </c>
      <c r="U47" s="145">
        <f>IFERROR(ROUND(VLOOKUP(T47,Hist.BT!$G$3:$I$6,3,FALSE)*Q47,2),"")</f>
        <v>0</v>
      </c>
      <c r="V47" s="145">
        <f t="shared" ref="V47:V58" si="66">IFERROR(ROUND(SUM(S47+U47)*(1-AG47),2),"")</f>
        <v>0</v>
      </c>
      <c r="W47" s="145">
        <f t="shared" si="56"/>
        <v>0</v>
      </c>
      <c r="X47" s="145">
        <f t="shared" ref="X47:X58" si="67">O47-Q47</f>
        <v>5164.8100000000004</v>
      </c>
      <c r="Y47" s="145">
        <f t="shared" ref="Y47:Y54" si="68">SUMIF($J47:J$84,J47,$X47:X$84)</f>
        <v>25231.56</v>
      </c>
      <c r="Z47" s="146"/>
      <c r="AA47" s="146"/>
      <c r="AB47" s="146">
        <f t="shared" si="61"/>
        <v>0</v>
      </c>
      <c r="AC47" s="146">
        <f>IFERROR(VLOOKUP(B47,Hist.Consum!$B$5:$AD$120,23,FALSE),"")</f>
        <v>0</v>
      </c>
      <c r="AD47" s="146"/>
      <c r="AE47" s="146" t="str">
        <f>IFERROR(VLOOKUP(B47,Hist.Consum!$B$5:$AD$120,24,FALSE),"")</f>
        <v>A Equatorial cobrou errado uma tarida de GD2 , gerando itens que não são devidos: 1)Benefício Tarifário Bruto SCEE R$ 961,08 e 2) (-) Benefício Tarifário Líquido SCEE 702,62. O saldo deste valor foi dado como desconto para não te afetar os 15% de desconto na conta até que a Equatorial reverter esse valor.</v>
      </c>
      <c r="AF47" s="4"/>
      <c r="AG47" s="147">
        <f>VLOOKUP(H47,Cad.RateioConsumo!$B$4:$Z$106,8,FALSE)</f>
        <v>0.15</v>
      </c>
    </row>
    <row r="48" spans="1:33" ht="14.25" customHeight="1">
      <c r="A48" s="4"/>
      <c r="B48" s="4" t="str">
        <f t="shared" si="50"/>
        <v>2.111/2025</v>
      </c>
      <c r="C48" s="4" t="str">
        <f t="shared" si="62"/>
        <v>Usina 210/2025</v>
      </c>
      <c r="D48" s="108">
        <f t="shared" si="63"/>
        <v>1</v>
      </c>
      <c r="E48" s="108">
        <f t="shared" si="64"/>
        <v>18</v>
      </c>
      <c r="F48" s="108" t="s">
        <v>53</v>
      </c>
      <c r="G48" s="56">
        <f>VLOOKUP(F48,Cad.Usinas!$A$4:$B$6,2,FALSE)</f>
        <v>3023594470</v>
      </c>
      <c r="H48" s="109" t="s">
        <v>103</v>
      </c>
      <c r="I48" s="148" t="str">
        <f>VLOOKUP(H48,Cad.RateioConsumo!$B$4:$Z$106,2,FALSE)</f>
        <v>Lucas Medeiros Lima</v>
      </c>
      <c r="J48" s="140">
        <f>VLOOKUP(H48,Cad.RateioConsumo!$B$4:$Z$106,5,FALSE)</f>
        <v>3002796782</v>
      </c>
      <c r="K48" s="141" t="s">
        <v>26</v>
      </c>
      <c r="L48" s="141" t="s">
        <v>125</v>
      </c>
      <c r="M48" s="111">
        <f>VLOOKUP(H48,Cad.RateioConsumo!$B$4:$Z$106,7,FALSE)</f>
        <v>1536.5</v>
      </c>
      <c r="N48" s="86">
        <f>VLOOKUP(H48,Cad.RateioConsumo!$B$4:$Z$106,11,FALSE)</f>
        <v>0.10979999999999999</v>
      </c>
      <c r="O48" s="142">
        <f>IFERROR(ROUND(VLOOKUP(C48,Hist.Geração!$A$4:$F$64,4,FALSE)*N48,2)," ")</f>
        <v>1864.73</v>
      </c>
      <c r="P48" s="142">
        <f>IFERROR(VLOOKUP(B48,Hist.Consum!$B$5:$V$120,12,FALSE),"")</f>
        <v>0</v>
      </c>
      <c r="Q48" s="143">
        <f>IFERROR(VLOOKUP(B48,Hist.Consum!$B$5:$V$120,15,FALSE),"")</f>
        <v>1556</v>
      </c>
      <c r="R48" s="144">
        <f>IFERROR(VLOOKUP(B48,Hist.Consum!$B$5:$W$120,22,FALSE),"")</f>
        <v>1.1719999999999999</v>
      </c>
      <c r="S48" s="145">
        <f t="shared" si="65"/>
        <v>1823.6319999999998</v>
      </c>
      <c r="T48" s="143" t="str">
        <f>VLOOKUP(K48,Hist.BT!$A$4:$C$27,3,FALSE)</f>
        <v>Vermelha 1</v>
      </c>
      <c r="U48" s="145">
        <f>IFERROR(ROUND(VLOOKUP(T48,Hist.BT!$G$3:$I$6,3,FALSE)*Q48,2),"")</f>
        <v>90.19</v>
      </c>
      <c r="V48" s="145">
        <f t="shared" si="66"/>
        <v>1626.75</v>
      </c>
      <c r="W48" s="145">
        <f t="shared" si="56"/>
        <v>287.07199999999989</v>
      </c>
      <c r="X48" s="145">
        <f t="shared" si="67"/>
        <v>308.73</v>
      </c>
      <c r="Y48" s="145" t="e">
        <f t="shared" si="68"/>
        <v>#VALUE!</v>
      </c>
      <c r="Z48" s="146"/>
      <c r="AA48" s="146"/>
      <c r="AB48" s="146"/>
      <c r="AC48" s="146">
        <f>IFERROR(VLOOKUP(B48,Hist.Consum!$B$5:$AD$120,23,FALSE),"")</f>
        <v>258.46000000000004</v>
      </c>
      <c r="AD48" s="149" t="s">
        <v>168</v>
      </c>
      <c r="AE48" s="68" t="str">
        <f>IFERROR(VLOOKUP(B48,Hist.Consum!$B$5:$AD$120,24,FALSE),"")</f>
        <v>A Equatorial errou no faturamento e cobrou indevidamente uma tarifa adicional:1)Benefício Tarifário Bruto SCEE e 2) (-) Benefício Tarifário Líquido SCEE . O saldo deste valor foi dado como desconto para não te afetar os 15% de desconto na conta até que a Equatorial reverter esse valor.</v>
      </c>
      <c r="AF48" s="4"/>
      <c r="AG48" s="147">
        <f>VLOOKUP(H48,Cad.RateioConsumo!$B$4:$Z$106,8,FALSE)</f>
        <v>0.15</v>
      </c>
    </row>
    <row r="49" spans="1:33" ht="14.25" customHeight="1">
      <c r="A49" s="270" t="s">
        <v>284</v>
      </c>
      <c r="B49" s="4" t="str">
        <f t="shared" si="50"/>
        <v>2.211/2025</v>
      </c>
      <c r="C49" s="4" t="str">
        <f t="shared" si="62"/>
        <v>Usina 210/2025</v>
      </c>
      <c r="D49" s="108">
        <f t="shared" si="63"/>
        <v>1</v>
      </c>
      <c r="E49" s="108">
        <f t="shared" si="64"/>
        <v>17</v>
      </c>
      <c r="F49" s="108" t="s">
        <v>53</v>
      </c>
      <c r="G49" s="56">
        <f>VLOOKUP(F49,Cad.Usinas!$A$4:$B$6,2,FALSE)</f>
        <v>3023594470</v>
      </c>
      <c r="H49" s="109" t="s">
        <v>108</v>
      </c>
      <c r="I49" s="150" t="str">
        <f>VLOOKUP(H49,Cad.RateioConsumo!$B$4:$Z$106,2,FALSE)</f>
        <v>SORRISO SAUDE ODONTOLOGIA LTDA</v>
      </c>
      <c r="J49" s="140">
        <f>VLOOKUP(H49,Cad.RateioConsumo!$B$4:$Z$106,5,FALSE)</f>
        <v>3022893768</v>
      </c>
      <c r="K49" s="141" t="s">
        <v>26</v>
      </c>
      <c r="L49" s="141" t="s">
        <v>125</v>
      </c>
      <c r="M49" s="111">
        <f>VLOOKUP(H49,Cad.RateioConsumo!$B$4:$Z$106,7,FALSE)</f>
        <v>859</v>
      </c>
      <c r="N49" s="86">
        <f>VLOOKUP(H49,Cad.RateioConsumo!$B$4:$Z$106,11,FALSE)</f>
        <v>6.1400000000000003E-2</v>
      </c>
      <c r="O49" s="142">
        <f>IFERROR(ROUND(VLOOKUP(C49,Hist.Geração!$A$4:$F$64,4,FALSE)*N49,2)," ")</f>
        <v>1042.76</v>
      </c>
      <c r="P49" s="142">
        <f>IFERROR(VLOOKUP(B49,Hist.Consum!$B$5:$V$120,12,FALSE),"")</f>
        <v>0</v>
      </c>
      <c r="Q49" s="143">
        <f>IFERROR(VLOOKUP(B49,Hist.Consum!$B$5:$V$120,15,FALSE),"")</f>
        <v>902</v>
      </c>
      <c r="R49" s="144">
        <f>IFERROR(VLOOKUP(B49,Hist.Consum!$B$5:$W$120,22,FALSE),"")</f>
        <v>1.1719999999999999</v>
      </c>
      <c r="S49" s="145">
        <f t="shared" si="65"/>
        <v>1057.144</v>
      </c>
      <c r="T49" s="143" t="str">
        <f>VLOOKUP(K49,Hist.BT!$A$4:$C$27,3,FALSE)</f>
        <v>Vermelha 1</v>
      </c>
      <c r="U49" s="145">
        <f>IFERROR(ROUND(VLOOKUP(T49,Hist.BT!$G$3:$I$6,3,FALSE)*Q49,2),"")</f>
        <v>52.28</v>
      </c>
      <c r="V49" s="145">
        <f t="shared" si="66"/>
        <v>920.82</v>
      </c>
      <c r="W49" s="145">
        <f t="shared" si="56"/>
        <v>188.60399999999993</v>
      </c>
      <c r="X49" s="145">
        <f t="shared" si="67"/>
        <v>140.76</v>
      </c>
      <c r="Y49" s="145">
        <f t="shared" si="68"/>
        <v>140.76</v>
      </c>
      <c r="Z49" s="146"/>
      <c r="AA49" s="146"/>
      <c r="AB49" s="146"/>
      <c r="AC49" s="146">
        <f>IFERROR(VLOOKUP(B49,Hist.Consum!$B$5:$AD$120,23,FALSE),"")</f>
        <v>149.82</v>
      </c>
      <c r="AD49" s="149" t="s">
        <v>168</v>
      </c>
      <c r="AE49" s="68" t="str">
        <f>IFERROR(VLOOKUP(B49,Hist.Consum!$B$5:$AD$120,24,FALSE),"")</f>
        <v>A Equatorial errou no faturamento e cobrou indevidamente uma tarifa adicional:1)Benefício Tarifário Bruto SCEE e 2) (-) Benefício Tarifário Líquido SCEE . O saldo deste valor foi dado como desconto para não te afetar os 15% de desconto na conta até que a Equatorial reverter esse valor.</v>
      </c>
      <c r="AF49" s="4"/>
      <c r="AG49" s="147">
        <f>VLOOKUP(H49,Cad.RateioConsumo!$B$4:$Z$106,8,FALSE)</f>
        <v>0.17</v>
      </c>
    </row>
    <row r="50" spans="1:33" ht="14.25" customHeight="1">
      <c r="A50" s="4"/>
      <c r="B50" s="4" t="str">
        <f t="shared" si="50"/>
        <v>2.011/2025</v>
      </c>
      <c r="C50" s="4" t="str">
        <f t="shared" si="62"/>
        <v>Usina 210/2025</v>
      </c>
      <c r="D50" s="108">
        <f t="shared" si="63"/>
        <v>0</v>
      </c>
      <c r="E50" s="108" t="str">
        <f t="shared" si="64"/>
        <v>N/A</v>
      </c>
      <c r="F50" s="108" t="s">
        <v>53</v>
      </c>
      <c r="G50" s="56">
        <f>VLOOKUP(F50,Cad.Usinas!$A$4:$B$6,2,FALSE)</f>
        <v>3023594470</v>
      </c>
      <c r="H50" s="109" t="s">
        <v>113</v>
      </c>
      <c r="I50" s="59" t="str">
        <f>VLOOKUP(H50,Cad.RateioConsumo!$B$4:$Z$106,2,FALSE)</f>
        <v>Usina 2</v>
      </c>
      <c r="J50" s="140">
        <f>VLOOKUP(H50,Cad.RateioConsumo!$B$4:$Z$106,5,FALSE)</f>
        <v>3023594470</v>
      </c>
      <c r="K50" s="141" t="s">
        <v>26</v>
      </c>
      <c r="L50" s="141" t="s">
        <v>125</v>
      </c>
      <c r="M50" s="111">
        <f>VLOOKUP(H50,Cad.RateioConsumo!$B$4:$Z$106,7,FALSE)</f>
        <v>14000</v>
      </c>
      <c r="N50" s="86">
        <f>VLOOKUP(H50,Cad.RateioConsumo!$B$4:$Z$106,11,FALSE)</f>
        <v>1</v>
      </c>
      <c r="O50" s="142">
        <f>IFERROR(ROUND(VLOOKUP(C50,Hist.Geração!$A$4:$F$64,4,FALSE)*N50,2)," ")</f>
        <v>16983</v>
      </c>
      <c r="P50" s="142">
        <f>IFERROR(VLOOKUP(B50,Hist.Consum!$B$5:$V$120,12,FALSE),"")</f>
        <v>0</v>
      </c>
      <c r="Q50" s="143">
        <f>IFERROR(VLOOKUP(B50,Hist.Consum!$B$5:$V$120,15,FALSE),"")</f>
        <v>0</v>
      </c>
      <c r="R50" s="144">
        <f>IFERROR(VLOOKUP(B50,Hist.Consum!$B$5:$W$120,22,FALSE),"")</f>
        <v>1.1719999999999999</v>
      </c>
      <c r="S50" s="145">
        <f t="shared" si="65"/>
        <v>0</v>
      </c>
      <c r="T50" s="143" t="str">
        <f>VLOOKUP(K50,Hist.BT!$A$4:$C$27,3,FALSE)</f>
        <v>Vermelha 1</v>
      </c>
      <c r="U50" s="145">
        <f>IFERROR(ROUND(VLOOKUP(T50,Hist.BT!$G$3:$I$6,3,FALSE)*Q50,2),"")</f>
        <v>0</v>
      </c>
      <c r="V50" s="145">
        <f t="shared" si="66"/>
        <v>0</v>
      </c>
      <c r="W50" s="145">
        <f t="shared" si="56"/>
        <v>0</v>
      </c>
      <c r="X50" s="145">
        <f t="shared" si="67"/>
        <v>16983</v>
      </c>
      <c r="Y50" s="145">
        <f t="shared" si="68"/>
        <v>81731</v>
      </c>
      <c r="Z50" s="146"/>
      <c r="AA50" s="146"/>
      <c r="AB50" s="146">
        <f t="shared" ref="AB50:AB54" si="69">SUMIF($J50:J$84,J50,$Q50:Q$84)</f>
        <v>0</v>
      </c>
      <c r="AC50" s="146">
        <f>IFERROR(VLOOKUP(B50,Hist.Consum!$B$5:$AD$120,23,FALSE),"")</f>
        <v>0</v>
      </c>
      <c r="AD50" s="146"/>
      <c r="AE50" s="146"/>
      <c r="AF50" s="4"/>
      <c r="AG50" s="147">
        <f>VLOOKUP(H50,Cad.RateioConsumo!$B$4:$Z$106,8,FALSE)</f>
        <v>0.15</v>
      </c>
    </row>
    <row r="51" spans="1:33" ht="14.25" customHeight="1">
      <c r="A51" s="4"/>
      <c r="B51" s="4" t="str">
        <f t="shared" si="50"/>
        <v>3.111/2025</v>
      </c>
      <c r="C51" s="4" t="str">
        <f t="shared" si="62"/>
        <v>Usina 310/2025</v>
      </c>
      <c r="D51" s="108">
        <f t="shared" si="63"/>
        <v>1</v>
      </c>
      <c r="E51" s="108">
        <f t="shared" si="64"/>
        <v>16</v>
      </c>
      <c r="F51" s="108" t="s">
        <v>57</v>
      </c>
      <c r="G51" s="56">
        <f>VLOOKUP(F51,Cad.Usinas!$A$4:$B$6,2,FALSE)</f>
        <v>3023637013</v>
      </c>
      <c r="H51" s="109" t="s">
        <v>70</v>
      </c>
      <c r="I51" s="150" t="str">
        <f>VLOOKUP(H51,Cad.RateioConsumo!$B$4:$Z$106,2,FALSE)</f>
        <v>Associação dos Moradores do Residencial Araçagy</v>
      </c>
      <c r="J51" s="140">
        <f>VLOOKUP(H51,Cad.RateioConsumo!$B$4:$Z$106,5,FALSE)</f>
        <v>3021142432</v>
      </c>
      <c r="K51" s="141" t="s">
        <v>26</v>
      </c>
      <c r="L51" s="141" t="s">
        <v>125</v>
      </c>
      <c r="M51" s="151">
        <f>VLOOKUP(H51,Cad.RateioConsumo!$B$4:$Z$106,7,FALSE)</f>
        <v>205.36363636363637</v>
      </c>
      <c r="N51" s="152">
        <f>VLOOKUP(H51,Cad.RateioConsumo!$B$4:$Z$106,11,FALSE)/100</f>
        <v>1.47E-4</v>
      </c>
      <c r="O51" s="142">
        <f>IFERROR(ROUND(VLOOKUP(C51,Hist.Geração!$A$4:$F$64,4,FALSE)*N51,2)," ")</f>
        <v>2.5499999999999998</v>
      </c>
      <c r="P51" s="142">
        <f>IFERROR(VLOOKUP(B51,Hist.Consum!$B$5:$V$120,12,FALSE),"")</f>
        <v>100</v>
      </c>
      <c r="Q51" s="143">
        <f>IFERROR(VLOOKUP(B51,Hist.Consum!$B$5:$V$120,15,FALSE),"")</f>
        <v>156.81</v>
      </c>
      <c r="R51" s="144">
        <f>IFERROR(VLOOKUP(B51,Hist.Consum!$B$5:$W$120,22,FALSE),"")</f>
        <v>1.1719999999999999</v>
      </c>
      <c r="S51" s="145">
        <f t="shared" si="65"/>
        <v>183.78131999999999</v>
      </c>
      <c r="T51" s="143" t="str">
        <f>VLOOKUP(K51,Hist.BT!$A$4:$C$27,3,FALSE)</f>
        <v>Vermelha 1</v>
      </c>
      <c r="U51" s="145">
        <f>IFERROR(ROUND(VLOOKUP(T51,Hist.BT!$G$3:$I$6,3,FALSE)*Q51,2),"")</f>
        <v>9.09</v>
      </c>
      <c r="V51" s="145">
        <f t="shared" si="66"/>
        <v>163.94</v>
      </c>
      <c r="W51" s="145">
        <f t="shared" si="56"/>
        <v>28.931319999999999</v>
      </c>
      <c r="X51" s="145">
        <f t="shared" si="67"/>
        <v>-154.26</v>
      </c>
      <c r="Y51" s="145">
        <f t="shared" si="68"/>
        <v>66.259999999999991</v>
      </c>
      <c r="Z51" s="146"/>
      <c r="AA51" s="146"/>
      <c r="AB51" s="146">
        <f t="shared" si="69"/>
        <v>416.5</v>
      </c>
      <c r="AC51" s="146">
        <f>IFERROR(VLOOKUP(B51,Hist.Consum!$B$5:$AD$120,23,FALSE),"")</f>
        <v>0</v>
      </c>
      <c r="AD51" s="149" t="s">
        <v>169</v>
      </c>
      <c r="AE51" s="146">
        <f>Y51/M51</f>
        <v>0.32264718902169093</v>
      </c>
      <c r="AF51" s="4"/>
      <c r="AG51" s="147">
        <f>VLOOKUP(H51,Cad.RateioConsumo!$B$4:$Z$106,8,FALSE)</f>
        <v>0.15</v>
      </c>
    </row>
    <row r="52" spans="1:33" ht="14.25" customHeight="1">
      <c r="A52" s="4"/>
      <c r="B52" s="4" t="str">
        <f t="shared" si="50"/>
        <v>3.211/2025</v>
      </c>
      <c r="C52" s="4" t="str">
        <f t="shared" si="62"/>
        <v>Usina 310/2025</v>
      </c>
      <c r="D52" s="108">
        <f t="shared" si="63"/>
        <v>1</v>
      </c>
      <c r="E52" s="108">
        <f t="shared" si="64"/>
        <v>15</v>
      </c>
      <c r="F52" s="108" t="s">
        <v>57</v>
      </c>
      <c r="G52" s="56">
        <f>VLOOKUP(F52,Cad.Usinas!$A$4:$B$6,2,FALSE)</f>
        <v>3023637013</v>
      </c>
      <c r="H52" s="109" t="s">
        <v>75</v>
      </c>
      <c r="I52" s="150" t="str">
        <f>VLOOKUP(H52,Cad.RateioConsumo!$B$4:$Z$106,2,FALSE)</f>
        <v>Associação dos Moradores do Residencial Araçagy</v>
      </c>
      <c r="J52" s="140">
        <f>VLOOKUP(H52,Cad.RateioConsumo!$B$4:$Z$106,5,FALSE)</f>
        <v>3021149593</v>
      </c>
      <c r="K52" s="141" t="s">
        <v>26</v>
      </c>
      <c r="L52" s="141" t="s">
        <v>125</v>
      </c>
      <c r="M52" s="111">
        <f>VLOOKUP(H52,Cad.RateioConsumo!$B$4:$Z$106,7,FALSE)</f>
        <v>734.33333333333337</v>
      </c>
      <c r="N52" s="152">
        <f>VLOOKUP(H52,Cad.RateioConsumo!$B$4:$Z$106,11,FALSE)/100</f>
        <v>5.2499999999999997E-4</v>
      </c>
      <c r="O52" s="142">
        <f>IFERROR(ROUND(VLOOKUP(C52,Hist.Geração!$A$4:$F$64,4,FALSE)*N52,2)," ")</f>
        <v>9.1199999999999992</v>
      </c>
      <c r="P52" s="142">
        <f>IFERROR(VLOOKUP(B52,Hist.Consum!$B$5:$V$120,12,FALSE),"")</f>
        <v>1086.92</v>
      </c>
      <c r="Q52" s="143">
        <f>IFERROR(VLOOKUP(B52,Hist.Consum!$B$5:$V$120,15,FALSE),"")</f>
        <v>9.11</v>
      </c>
      <c r="R52" s="144">
        <f>IFERROR(VLOOKUP(B52,Hist.Consum!$B$5:$W$120,22,FALSE),"")</f>
        <v>1.1719999999999999</v>
      </c>
      <c r="S52" s="145">
        <f t="shared" si="65"/>
        <v>10.676919999999999</v>
      </c>
      <c r="T52" s="143" t="str">
        <f>VLOOKUP(K52,Hist.BT!$A$4:$C$27,3,FALSE)</f>
        <v>Vermelha 1</v>
      </c>
      <c r="U52" s="145">
        <f>IFERROR(ROUND(VLOOKUP(T52,Hist.BT!$G$3:$I$6,3,FALSE)*Q52,2),"")</f>
        <v>0.53</v>
      </c>
      <c r="V52" s="145">
        <f t="shared" si="66"/>
        <v>9.5299999999999994</v>
      </c>
      <c r="W52" s="145">
        <f t="shared" si="56"/>
        <v>1.6769199999999991</v>
      </c>
      <c r="X52" s="145">
        <f t="shared" si="67"/>
        <v>9.9999999999997868E-3</v>
      </c>
      <c r="Y52" s="145">
        <f t="shared" si="68"/>
        <v>1.9999999999990692E-2</v>
      </c>
      <c r="Z52" s="146"/>
      <c r="AA52" s="146"/>
      <c r="AB52" s="146">
        <f t="shared" si="69"/>
        <v>1724.12</v>
      </c>
      <c r="AC52" s="146">
        <f>IFERROR(VLOOKUP(B52,Hist.Consum!$B$5:$AD$120,23,FALSE),"")</f>
        <v>0</v>
      </c>
      <c r="AD52" s="149" t="s">
        <v>169</v>
      </c>
      <c r="AE52" s="146"/>
      <c r="AF52" s="4"/>
      <c r="AG52" s="147">
        <f>VLOOKUP(H52,Cad.RateioConsumo!$B$4:$Z$106,8,FALSE)</f>
        <v>0.15</v>
      </c>
    </row>
    <row r="53" spans="1:33" ht="14.25" customHeight="1">
      <c r="A53" s="4"/>
      <c r="B53" s="4" t="str">
        <f t="shared" si="50"/>
        <v>3.311/2025</v>
      </c>
      <c r="C53" s="4" t="str">
        <f t="shared" si="62"/>
        <v>Usina 310/2025</v>
      </c>
      <c r="D53" s="108">
        <f t="shared" si="63"/>
        <v>1</v>
      </c>
      <c r="E53" s="108">
        <f t="shared" si="64"/>
        <v>14</v>
      </c>
      <c r="F53" s="108" t="s">
        <v>57</v>
      </c>
      <c r="G53" s="56">
        <f>VLOOKUP(F53,Cad.Usinas!$A$4:$B$6,2,FALSE)</f>
        <v>3023637013</v>
      </c>
      <c r="H53" s="109" t="s">
        <v>77</v>
      </c>
      <c r="I53" s="150" t="str">
        <f>VLOOKUP(H53,Cad.RateioConsumo!$B$4:$Z$106,2,FALSE)</f>
        <v>Associação dos Moradores do Residencial Araçagy</v>
      </c>
      <c r="J53" s="140">
        <f>VLOOKUP(H53,Cad.RateioConsumo!$B$4:$Z$106,5,FALSE)</f>
        <v>3021150559</v>
      </c>
      <c r="K53" s="141" t="s">
        <v>26</v>
      </c>
      <c r="L53" s="141" t="s">
        <v>125</v>
      </c>
      <c r="M53" s="111">
        <f>VLOOKUP(H53,Cad.RateioConsumo!$B$4:$Z$106,7,FALSE)</f>
        <v>2086.4545454545455</v>
      </c>
      <c r="N53" s="86">
        <f>10.71%/100</f>
        <v>1.0710000000000001E-3</v>
      </c>
      <c r="O53" s="142">
        <f>IFERROR(ROUND(VLOOKUP(C53,Hist.Geração!$A$4:$F$64,4,FALSE)*N53,2)," ")</f>
        <v>18.600000000000001</v>
      </c>
      <c r="P53" s="142">
        <f>IFERROR(VLOOKUP(B53,Hist.Consum!$B$5:$V$120,12,FALSE),"")</f>
        <v>1012.83</v>
      </c>
      <c r="Q53" s="143">
        <f>IFERROR(VLOOKUP(B53,Hist.Consum!$B$5:$V$120,15,FALSE),"")</f>
        <v>1276.97</v>
      </c>
      <c r="R53" s="144">
        <f>IFERROR(VLOOKUP(B53,Hist.Consum!$B$5:$W$120,22,FALSE),"")</f>
        <v>1.1719999999999999</v>
      </c>
      <c r="S53" s="145">
        <f t="shared" si="65"/>
        <v>1496.6088399999999</v>
      </c>
      <c r="T53" s="143" t="str">
        <f>VLOOKUP(K53,Hist.BT!$A$4:$C$27,3,FALSE)</f>
        <v>Vermelha 1</v>
      </c>
      <c r="U53" s="145">
        <f>IFERROR(ROUND(VLOOKUP(T53,Hist.BT!$G$3:$I$6,3,FALSE)*Q53,2),"")</f>
        <v>74.010000000000005</v>
      </c>
      <c r="V53" s="145">
        <f t="shared" si="66"/>
        <v>1335.03</v>
      </c>
      <c r="W53" s="145">
        <f t="shared" si="56"/>
        <v>235.58883999999989</v>
      </c>
      <c r="X53" s="145">
        <f t="shared" si="67"/>
        <v>-1258.3700000000001</v>
      </c>
      <c r="Y53" s="145">
        <f t="shared" si="68"/>
        <v>9.9999999999909051E-3</v>
      </c>
      <c r="Z53" s="146"/>
      <c r="AA53" s="146"/>
      <c r="AB53" s="146">
        <f t="shared" si="69"/>
        <v>4885.97</v>
      </c>
      <c r="AC53" s="146">
        <f>IFERROR(VLOOKUP(B53,Hist.Consum!$B$5:$AD$120,23,FALSE),"")</f>
        <v>0</v>
      </c>
      <c r="AD53" s="149" t="s">
        <v>169</v>
      </c>
      <c r="AE53" s="68" t="s">
        <v>171</v>
      </c>
      <c r="AF53" s="4"/>
      <c r="AG53" s="147">
        <f>VLOOKUP(H53,Cad.RateioConsumo!$B$4:$Z$106,8,FALSE)</f>
        <v>0.15</v>
      </c>
    </row>
    <row r="54" spans="1:33" ht="14.25" customHeight="1">
      <c r="A54" s="4"/>
      <c r="B54" s="4" t="str">
        <f t="shared" si="50"/>
        <v>3.411/2025</v>
      </c>
      <c r="C54" s="4" t="str">
        <f t="shared" si="62"/>
        <v>Usina 310/2025</v>
      </c>
      <c r="D54" s="108">
        <f t="shared" si="63"/>
        <v>1</v>
      </c>
      <c r="E54" s="108">
        <f t="shared" si="64"/>
        <v>13</v>
      </c>
      <c r="F54" s="108" t="s">
        <v>57</v>
      </c>
      <c r="G54" s="56">
        <f>VLOOKUP(F54,Cad.Usinas!$A$4:$B$6,2,FALSE)</f>
        <v>3023637013</v>
      </c>
      <c r="H54" s="109" t="s">
        <v>82</v>
      </c>
      <c r="I54" s="59" t="str">
        <f>VLOOKUP(H54,Cad.RateioConsumo!$B$4:$Z$106,2,FALSE)</f>
        <v>Antonio Jose Souza Filho</v>
      </c>
      <c r="J54" s="140">
        <f>VLOOKUP(H54,Cad.RateioConsumo!$B$4:$Z$106,5,FALSE)</f>
        <v>3007625048</v>
      </c>
      <c r="K54" s="141" t="s">
        <v>26</v>
      </c>
      <c r="L54" s="141" t="s">
        <v>125</v>
      </c>
      <c r="M54" s="111">
        <f>VLOOKUP(H54,Cad.RateioConsumo!$B$4:$Z$106,7,FALSE)</f>
        <v>417.15384615384613</v>
      </c>
      <c r="N54" s="152">
        <f>VLOOKUP(H54,Cad.RateioConsumo!$B$4:$Z$106,11,FALSE)/100</f>
        <v>2.9799999999999998E-4</v>
      </c>
      <c r="O54" s="142">
        <f>IFERROR(ROUND(VLOOKUP(C54,Hist.Geração!$A$4:$F$64,4,FALSE)*N54,2)," ")</f>
        <v>5.18</v>
      </c>
      <c r="P54" s="142">
        <f>IFERROR(VLOOKUP(B54,Hist.Consum!$B$5:$V$120,12,FALSE),"")</f>
        <v>431.34</v>
      </c>
      <c r="Q54" s="143">
        <f>IFERROR(VLOOKUP(B54,Hist.Consum!$B$5:$V$120,15,FALSE),"")</f>
        <v>36.65</v>
      </c>
      <c r="R54" s="144">
        <f>IFERROR(VLOOKUP(B54,Hist.Consum!$B$5:$W$120,22,FALSE),"")</f>
        <v>1.1719999999999999</v>
      </c>
      <c r="S54" s="145">
        <f t="shared" si="65"/>
        <v>42.953799999999994</v>
      </c>
      <c r="T54" s="143" t="str">
        <f>VLOOKUP(K54,Hist.BT!$A$4:$C$27,3,FALSE)</f>
        <v>Vermelha 1</v>
      </c>
      <c r="U54" s="145">
        <f>IFERROR(ROUND(VLOOKUP(T54,Hist.BT!$G$3:$I$6,3,FALSE)*Q54,2),"")</f>
        <v>2.12</v>
      </c>
      <c r="V54" s="145">
        <f t="shared" si="66"/>
        <v>38.31</v>
      </c>
      <c r="W54" s="145">
        <f t="shared" si="56"/>
        <v>6.7637999999999892</v>
      </c>
      <c r="X54" s="145">
        <f t="shared" si="67"/>
        <v>-31.47</v>
      </c>
      <c r="Y54" s="145">
        <f t="shared" si="68"/>
        <v>2.8421709430404007E-14</v>
      </c>
      <c r="Z54" s="146"/>
      <c r="AA54" s="146"/>
      <c r="AB54" s="146">
        <f t="shared" si="69"/>
        <v>978.65</v>
      </c>
      <c r="AC54" s="146">
        <f>IFERROR(VLOOKUP(B54,Hist.Consum!$B$5:$AD$120,23,FALSE),"")</f>
        <v>0</v>
      </c>
      <c r="AD54" s="149" t="s">
        <v>169</v>
      </c>
      <c r="AE54" s="68" t="s">
        <v>171</v>
      </c>
      <c r="AF54" s="4"/>
      <c r="AG54" s="147">
        <f>VLOOKUP(H54,Cad.RateioConsumo!$B$4:$Z$106,8,FALSE)</f>
        <v>0.15</v>
      </c>
    </row>
    <row r="55" spans="1:33" ht="14.25" customHeight="1">
      <c r="A55" s="4"/>
      <c r="B55" s="4" t="str">
        <f t="shared" si="50"/>
        <v>3.511/2025</v>
      </c>
      <c r="C55" s="4" t="str">
        <f t="shared" si="62"/>
        <v>Usina 310/2025</v>
      </c>
      <c r="D55" s="108">
        <f t="shared" si="63"/>
        <v>1</v>
      </c>
      <c r="E55" s="108">
        <f t="shared" si="64"/>
        <v>12</v>
      </c>
      <c r="F55" s="108" t="s">
        <v>57</v>
      </c>
      <c r="G55" s="56">
        <f>VLOOKUP(F55,Cad.Usinas!$A$4:$B$6,2,FALSE)</f>
        <v>3023637013</v>
      </c>
      <c r="H55" s="109" t="s">
        <v>87</v>
      </c>
      <c r="I55" s="59" t="str">
        <f>VLOOKUP(H55,Cad.RateioConsumo!$B$4:$Z$106,2,FALSE)</f>
        <v>João Carlos Pereira Dutra Filho</v>
      </c>
      <c r="J55" s="140">
        <f>VLOOKUP(H55,Cad.RateioConsumo!$B$4:$Z$106,5,FALSE)</f>
        <v>1163310</v>
      </c>
      <c r="K55" s="141" t="s">
        <v>26</v>
      </c>
      <c r="L55" s="141" t="s">
        <v>125</v>
      </c>
      <c r="M55" s="111">
        <f>VLOOKUP(H55,Cad.RateioConsumo!$B$4:$Z$106,7,FALSE)</f>
        <v>848.69230769230774</v>
      </c>
      <c r="N55" s="152">
        <f>VLOOKUP(H55,Cad.RateioConsumo!$B$4:$Z$106,11,FALSE)/100</f>
        <v>6.0599999999999998E-4</v>
      </c>
      <c r="O55" s="142">
        <f>IFERROR(ROUND(VLOOKUP(C55,Hist.Geração!$A$4:$F$64,4,FALSE)*N55,2)," ")</f>
        <v>10.53</v>
      </c>
      <c r="P55" s="142">
        <f>IFERROR(VLOOKUP(B55,Hist.Consum!$B$5:$V$120,12,FALSE),"")</f>
        <v>899.47</v>
      </c>
      <c r="Q55" s="143">
        <f>IFERROR(VLOOKUP(B55,Hist.Consum!$B$5:$V$120,15,FALSE),"")</f>
        <v>10.52</v>
      </c>
      <c r="R55" s="144">
        <f>IFERROR(VLOOKUP(B55,Hist.Consum!$B$5:$W$120,22,FALSE),"")</f>
        <v>1.1698</v>
      </c>
      <c r="S55" s="145">
        <f t="shared" si="65"/>
        <v>12.306296</v>
      </c>
      <c r="T55" s="143" t="str">
        <f>VLOOKUP(K55,Hist.BT!$A$4:$C$27,3,FALSE)</f>
        <v>Vermelha 1</v>
      </c>
      <c r="U55" s="145">
        <f>IFERROR(ROUND(VLOOKUP(T55,Hist.BT!$G$3:$I$6,3,FALSE)*Q55,2),"")</f>
        <v>0.61</v>
      </c>
      <c r="V55" s="145">
        <f t="shared" si="66"/>
        <v>10.98</v>
      </c>
      <c r="W55" s="145">
        <f t="shared" si="56"/>
        <v>1.9362959999999987</v>
      </c>
      <c r="X55" s="145">
        <f t="shared" si="67"/>
        <v>9.9999999999997868E-3</v>
      </c>
      <c r="Y55" s="145">
        <f>SUMIF(J47:$J$84,J55,X47:$X$84)</f>
        <v>9.9999999999997868E-3</v>
      </c>
      <c r="Z55" s="146"/>
      <c r="AA55" s="146"/>
      <c r="AB55" s="146">
        <f>SUMIF(J47:$J$84,J55,Q47:$Q$84)</f>
        <v>10.52</v>
      </c>
      <c r="AC55" s="146">
        <f>IFERROR(VLOOKUP(B55,Hist.Consum!$B$5:$AD$120,23,FALSE),"")</f>
        <v>0</v>
      </c>
      <c r="AD55" s="146" t="str">
        <f>IF((Y55/M55)&gt;1,"Mudar Urgente",IF((Y55/M55)&gt;0.4,"Rever Rateio",("ok")))</f>
        <v>ok</v>
      </c>
      <c r="AE55" s="146"/>
      <c r="AF55" s="4"/>
      <c r="AG55" s="147">
        <f>VLOOKUP(H55,Cad.RateioConsumo!$B$4:$Z$106,8,FALSE)</f>
        <v>0.15</v>
      </c>
    </row>
    <row r="56" spans="1:33" ht="14.25" customHeight="1">
      <c r="A56" s="4"/>
      <c r="B56" s="4" t="str">
        <f t="shared" si="50"/>
        <v>3.611/2025</v>
      </c>
      <c r="C56" s="4" t="str">
        <f t="shared" si="62"/>
        <v>Usina 310/2025</v>
      </c>
      <c r="D56" s="108">
        <f t="shared" si="63"/>
        <v>1</v>
      </c>
      <c r="E56" s="108">
        <f t="shared" si="64"/>
        <v>11</v>
      </c>
      <c r="F56" s="108" t="s">
        <v>57</v>
      </c>
      <c r="G56" s="56">
        <f>VLOOKUP(F56,Cad.Usinas!$A$4:$B$6,2,FALSE)</f>
        <v>3023637013</v>
      </c>
      <c r="H56" s="109" t="s">
        <v>92</v>
      </c>
      <c r="I56" s="59" t="str">
        <f>VLOOKUP(H56,Cad.RateioConsumo!$B$4:$Z$106,2,FALSE)</f>
        <v>Patricia Maria Abreu Machado</v>
      </c>
      <c r="J56" s="140">
        <f>VLOOKUP(H56,Cad.RateioConsumo!$B$4:$Z$106,5,FALSE)</f>
        <v>3006793931</v>
      </c>
      <c r="K56" s="141" t="s">
        <v>26</v>
      </c>
      <c r="L56" s="141" t="s">
        <v>125</v>
      </c>
      <c r="M56" s="111">
        <f>VLOOKUP(H56,Cad.RateioConsumo!$B$4:$Z$106,7,FALSE)</f>
        <v>776.76923076923072</v>
      </c>
      <c r="N56" s="152">
        <f>VLOOKUP(H56,Cad.RateioConsumo!$B$4:$Z$106,11,FALSE)/100</f>
        <v>5.5500000000000005E-4</v>
      </c>
      <c r="O56" s="142">
        <f>IFERROR(ROUND(VLOOKUP(C56,Hist.Geração!$A$4:$F$64,4,FALSE)*N56,2)," ")</f>
        <v>9.64</v>
      </c>
      <c r="P56" s="142">
        <f>IFERROR(VLOOKUP(B56,Hist.Consum!$B$5:$V$120,12,FALSE),"")</f>
        <v>850</v>
      </c>
      <c r="Q56" s="145">
        <f>O56</f>
        <v>9.64</v>
      </c>
      <c r="R56" s="144">
        <f>IFERROR(VLOOKUP(B56,Hist.Consum!$B$5:$W$120,22,FALSE),"")</f>
        <v>1.1698</v>
      </c>
      <c r="S56" s="145">
        <f t="shared" si="65"/>
        <v>11.276872000000001</v>
      </c>
      <c r="T56" s="143" t="str">
        <f>VLOOKUP(K56,Hist.BT!$A$4:$C$27,3,FALSE)</f>
        <v>Vermelha 1</v>
      </c>
      <c r="U56" s="145">
        <f>IFERROR(ROUND(VLOOKUP(T56,Hist.BT!$G$3:$I$6,3,FALSE)*Q56,2),"")</f>
        <v>0.56000000000000005</v>
      </c>
      <c r="V56" s="145">
        <f t="shared" si="66"/>
        <v>10.06</v>
      </c>
      <c r="W56" s="145">
        <f t="shared" si="56"/>
        <v>1.7768720000000009</v>
      </c>
      <c r="X56" s="145">
        <f t="shared" si="67"/>
        <v>0</v>
      </c>
      <c r="Y56" s="145">
        <f t="shared" ref="Y56:Y58" si="70">SUMIF($J56:J$84,J56,$X56:X$84)</f>
        <v>0</v>
      </c>
      <c r="Z56" s="146"/>
      <c r="AA56" s="146"/>
      <c r="AB56" s="146">
        <f t="shared" ref="AB56:AB60" si="71">SUMIF($J56:J$84,J56,$Q56:Q$84)</f>
        <v>9.64</v>
      </c>
      <c r="AC56" s="146">
        <f>IFERROR(VLOOKUP(B56,Hist.Consum!$B$5:$AD$120,23,FALSE),"")</f>
        <v>0</v>
      </c>
      <c r="AD56" s="149" t="s">
        <v>169</v>
      </c>
      <c r="AE56" s="68" t="s">
        <v>171</v>
      </c>
      <c r="AF56" s="4"/>
      <c r="AG56" s="147">
        <f>VLOOKUP(H56,Cad.RateioConsumo!$B$4:$Z$106,8,FALSE)</f>
        <v>0.15</v>
      </c>
    </row>
    <row r="57" spans="1:33" ht="14.25" customHeight="1">
      <c r="A57" s="4"/>
      <c r="B57" s="4" t="str">
        <f t="shared" si="50"/>
        <v>3.711/2025</v>
      </c>
      <c r="C57" s="4" t="str">
        <f t="shared" si="62"/>
        <v>Usina 310/2025</v>
      </c>
      <c r="D57" s="108">
        <f t="shared" si="63"/>
        <v>1</v>
      </c>
      <c r="E57" s="108">
        <f t="shared" si="64"/>
        <v>10</v>
      </c>
      <c r="F57" s="108" t="s">
        <v>57</v>
      </c>
      <c r="G57" s="56">
        <f>VLOOKUP(F57,Cad.Usinas!$A$4:$B$6,2,FALSE)</f>
        <v>3023637013</v>
      </c>
      <c r="H57" s="109" t="s">
        <v>96</v>
      </c>
      <c r="I57" s="59" t="str">
        <f>VLOOKUP(H57,Cad.RateioConsumo!$B$4:$Z$106,2,FALSE)</f>
        <v>Fatima Abdel Hafiz Khalifa Cavalcanti</v>
      </c>
      <c r="J57" s="140">
        <f>VLOOKUP(H57,Cad.RateioConsumo!$B$4:$Z$106,5,FALSE)</f>
        <v>38398091</v>
      </c>
      <c r="K57" s="141" t="s">
        <v>26</v>
      </c>
      <c r="L57" s="141" t="s">
        <v>125</v>
      </c>
      <c r="M57" s="111">
        <f>VLOOKUP(H57,Cad.RateioConsumo!$B$4:$Z$106,7,FALSE)</f>
        <v>1013.3846153846154</v>
      </c>
      <c r="N57" s="152">
        <f>VLOOKUP(H57,Cad.RateioConsumo!$B$4:$Z$106,11,FALSE)/100</f>
        <v>7.2400000000000003E-4</v>
      </c>
      <c r="O57" s="142">
        <f>IFERROR(ROUND(VLOOKUP(C57,Hist.Geração!$A$4:$F$64,4,FALSE)*N57,2)," ")</f>
        <v>12.58</v>
      </c>
      <c r="P57" s="142">
        <f>IFERROR(VLOOKUP(B57,Hist.Consum!$B$5:$V$120,12,FALSE),"")</f>
        <v>1243.42</v>
      </c>
      <c r="Q57" s="143">
        <f>IFERROR(VLOOKUP(B57,Hist.Consum!$B$5:$V$120,15,FALSE),"")</f>
        <v>12.57</v>
      </c>
      <c r="R57" s="144">
        <f>IFERROR(VLOOKUP(B57,Hist.Consum!$B$5:$W$120,22,FALSE),"")</f>
        <v>1.1719999999999999</v>
      </c>
      <c r="S57" s="145">
        <f t="shared" si="65"/>
        <v>14.73204</v>
      </c>
      <c r="T57" s="143" t="str">
        <f>VLOOKUP(K57,Hist.BT!$A$4:$C$27,3,FALSE)</f>
        <v>Vermelha 1</v>
      </c>
      <c r="U57" s="145">
        <f>IFERROR(ROUND(VLOOKUP(T57,Hist.BT!$G$3:$I$6,3,FALSE)*Q57,2),"")</f>
        <v>0.73</v>
      </c>
      <c r="V57" s="145">
        <f t="shared" si="66"/>
        <v>13.14</v>
      </c>
      <c r="W57" s="145">
        <f t="shared" si="56"/>
        <v>2.3220399999999994</v>
      </c>
      <c r="X57" s="145">
        <f t="shared" si="67"/>
        <v>9.9999999999997868E-3</v>
      </c>
      <c r="Y57" s="145">
        <f t="shared" si="70"/>
        <v>9.9999999999997868E-3</v>
      </c>
      <c r="Z57" s="146"/>
      <c r="AA57" s="146"/>
      <c r="AB57" s="146">
        <f t="shared" si="71"/>
        <v>12.57</v>
      </c>
      <c r="AC57" s="146">
        <f>IFERROR(VLOOKUP(B57,Hist.Consum!$B$5:$AD$120,23,FALSE),"")</f>
        <v>0</v>
      </c>
      <c r="AD57" s="146" t="str">
        <f>IF((Y57/M57)&gt;1,"Mudar Urgente",IF((Y57/M57)&gt;0.4,"Rever Rateio",("ok")))</f>
        <v>ok</v>
      </c>
      <c r="AE57" s="146"/>
      <c r="AF57" s="4"/>
      <c r="AG57" s="147">
        <f>VLOOKUP(H57,Cad.RateioConsumo!$B$4:$Z$106,8,FALSE)</f>
        <v>0.15</v>
      </c>
    </row>
    <row r="58" spans="1:33" ht="14.25" customHeight="1">
      <c r="A58" s="4"/>
      <c r="B58" s="4" t="str">
        <f t="shared" si="50"/>
        <v>3.011/2025</v>
      </c>
      <c r="C58" s="4" t="str">
        <f t="shared" si="62"/>
        <v>Usina 310/2025</v>
      </c>
      <c r="D58" s="108">
        <f t="shared" si="63"/>
        <v>0</v>
      </c>
      <c r="E58" s="108" t="str">
        <f t="shared" si="64"/>
        <v>N/A</v>
      </c>
      <c r="F58" s="108" t="s">
        <v>57</v>
      </c>
      <c r="G58" s="56">
        <f>VLOOKUP(F58,Cad.Usinas!$A$4:$B$6,2,FALSE)</f>
        <v>3023637013</v>
      </c>
      <c r="H58" s="109" t="s">
        <v>101</v>
      </c>
      <c r="I58" s="33" t="str">
        <f>VLOOKUP(H58,Cad.RateioConsumo!$B$4:$Z$106,2,FALSE)</f>
        <v>Usina 3</v>
      </c>
      <c r="J58" s="140">
        <f>VLOOKUP(H58,Cad.RateioConsumo!$B$4:$Z$106,5,FALSE)</f>
        <v>3023637013</v>
      </c>
      <c r="K58" s="141" t="s">
        <v>26</v>
      </c>
      <c r="L58" s="141" t="s">
        <v>125</v>
      </c>
      <c r="M58" s="111">
        <f>VLOOKUP(H58,Cad.RateioConsumo!$B$4:$Z$106,7,FALSE)</f>
        <v>8931.2331002331011</v>
      </c>
      <c r="N58" s="86">
        <f>VLOOKUP(H58,Cad.RateioConsumo!$B$4:$Z$106,11,FALSE)</f>
        <v>0.67989999999999995</v>
      </c>
      <c r="O58" s="142">
        <f>IFERROR(ROUND(VLOOKUP(C58,Hist.Geração!$A$4:$F$64,4,FALSE)*N58,2)," ")</f>
        <v>11810.54</v>
      </c>
      <c r="P58" s="142">
        <f>IFERROR(VLOOKUP(B58,Hist.Consum!$B$5:$V$120,12,FALSE),"")</f>
        <v>0</v>
      </c>
      <c r="Q58" s="143">
        <f>IFERROR(VLOOKUP(B58,Hist.Consum!$B$5:$V$120,15,FALSE),"")</f>
        <v>0</v>
      </c>
      <c r="R58" s="144">
        <f>IFERROR(VLOOKUP(B58,Hist.Consum!$B$5:$W$120,22,FALSE),"")</f>
        <v>1.1719999999999999</v>
      </c>
      <c r="S58" s="145">
        <f t="shared" si="65"/>
        <v>0</v>
      </c>
      <c r="T58" s="143" t="str">
        <f>VLOOKUP(K58,Hist.BT!$A$4:$C$27,3,FALSE)</f>
        <v>Vermelha 1</v>
      </c>
      <c r="U58" s="145">
        <f>IFERROR(ROUND(VLOOKUP(T58,Hist.BT!$G$3:$I$6,3,FALSE)*Q58,2),"")</f>
        <v>0</v>
      </c>
      <c r="V58" s="145">
        <f t="shared" si="66"/>
        <v>0</v>
      </c>
      <c r="W58" s="145">
        <f t="shared" si="56"/>
        <v>0</v>
      </c>
      <c r="X58" s="145">
        <f t="shared" si="67"/>
        <v>11810.54</v>
      </c>
      <c r="Y58" s="145">
        <f t="shared" si="70"/>
        <v>64353.82</v>
      </c>
      <c r="Z58" s="146"/>
      <c r="AA58" s="146"/>
      <c r="AB58" s="146">
        <f t="shared" si="71"/>
        <v>0</v>
      </c>
      <c r="AC58" s="146">
        <f>IFERROR(VLOOKUP(B58,Hist.Consum!$B$5:$AD$120,23,FALSE),"")</f>
        <v>0</v>
      </c>
      <c r="AD58" s="146"/>
      <c r="AE58" s="146"/>
      <c r="AF58" s="4"/>
      <c r="AG58" s="147">
        <f>VLOOKUP(H58,Cad.RateioConsumo!$B$4:$Z$106,8,FALSE)</f>
        <v>0.15</v>
      </c>
    </row>
    <row r="59" spans="1:33" ht="14.25" customHeight="1">
      <c r="A59" s="4"/>
      <c r="B59" s="4" t="str">
        <f t="shared" si="50"/>
        <v/>
      </c>
      <c r="C59" s="4"/>
      <c r="D59" s="4"/>
      <c r="E59" s="4"/>
      <c r="F59" s="4"/>
      <c r="G59" s="4"/>
      <c r="H59" s="4"/>
      <c r="I59" s="4"/>
      <c r="J59" s="30"/>
      <c r="K59" s="30"/>
      <c r="L59" s="30"/>
      <c r="M59" s="4"/>
      <c r="N59" s="4"/>
      <c r="O59" s="4"/>
      <c r="P59" s="4"/>
      <c r="Q59" s="4"/>
      <c r="R59" s="4"/>
      <c r="S59" s="4"/>
      <c r="T59" s="4"/>
      <c r="U59" s="4"/>
      <c r="V59" s="4"/>
      <c r="W59" s="145">
        <f t="shared" si="56"/>
        <v>0</v>
      </c>
      <c r="X59" s="4"/>
      <c r="Y59" s="4"/>
      <c r="Z59" s="4"/>
      <c r="AA59" s="4"/>
      <c r="AB59" s="146">
        <f t="shared" si="71"/>
        <v>0</v>
      </c>
      <c r="AC59" s="146" t="str">
        <f>IFERROR(VLOOKUP(B59,Hist.Consum!$B$5:$AD$120,23,FALSE),"")</f>
        <v/>
      </c>
      <c r="AD59" s="146"/>
      <c r="AE59" s="146"/>
      <c r="AF59" s="4"/>
      <c r="AG59" s="147" t="e">
        <f>VLOOKUP(H59,Cad.RateioConsumo!$B$4:$Z$106,8,FALSE)</f>
        <v>#N/A</v>
      </c>
    </row>
    <row r="60" spans="1:33" ht="14.25" customHeight="1">
      <c r="A60" s="4"/>
      <c r="B60" s="4" t="str">
        <f t="shared" si="50"/>
        <v>1.010/2025</v>
      </c>
      <c r="C60" s="4" t="str">
        <f t="shared" ref="C60:C67" si="72">F60&amp;L60</f>
        <v>Usina 109/2025</v>
      </c>
      <c r="D60" s="108">
        <f t="shared" ref="D60:D67" si="73">IF(J60=G60,0,1)</f>
        <v>0</v>
      </c>
      <c r="E60" s="108" t="str">
        <f t="shared" ref="E60:E67" si="74">IF(D60=0,"N/A",SUM($D60:D$83))</f>
        <v>N/A</v>
      </c>
      <c r="F60" s="108" t="s">
        <v>49</v>
      </c>
      <c r="G60" s="56">
        <f>VLOOKUP(F60,Cad.Usinas!$A$4:$B$6,2,FALSE)</f>
        <v>3023633492</v>
      </c>
      <c r="H60" s="109" t="s">
        <v>114</v>
      </c>
      <c r="I60" s="33" t="str">
        <f>VLOOKUP(H60,Cad.RateioConsumo!$B$4:$Z$106,2,FALSE)</f>
        <v>Usina 1</v>
      </c>
      <c r="J60" s="140">
        <f>VLOOKUP(H60,Cad.RateioConsumo!$B$4:$Z$106,5,FALSE)</f>
        <v>3023633492</v>
      </c>
      <c r="K60" s="141" t="s">
        <v>125</v>
      </c>
      <c r="L60" s="141" t="s">
        <v>124</v>
      </c>
      <c r="M60" s="111">
        <f>VLOOKUP(H60,Cad.RateioConsumo!$B$4:$Z$106,7,FALSE)</f>
        <v>14000</v>
      </c>
      <c r="N60" s="86">
        <f>VLOOKUP(H60,Cad.RateioConsumo!$B$4:$Z$106,11,FALSE)</f>
        <v>0.32010000000000005</v>
      </c>
      <c r="O60" s="142">
        <f>IFERROR(ROUND(VLOOKUP(C60,Hist.Geração!$A$4:$F$64,4,FALSE)*N60,2)," ")</f>
        <v>5405.53</v>
      </c>
      <c r="P60" s="142">
        <f>IFERROR(VLOOKUP(B60,Hist.Consum!$B$61:$V$120,12,FALSE),"")</f>
        <v>0</v>
      </c>
      <c r="Q60" s="143">
        <f>IFERROR(VLOOKUP(B60,Hist.Consum!$B$61:$V$120,15,FALSE),"")</f>
        <v>0</v>
      </c>
      <c r="R60" s="144">
        <f>IFERROR(VLOOKUP(B60,Hist.Consum!$B$61:$W$120,22,FALSE),"")</f>
        <v>1.1698</v>
      </c>
      <c r="S60" s="145">
        <f t="shared" ref="S60:S67" si="75">IFERROR(Q60*R60,"")</f>
        <v>0</v>
      </c>
      <c r="T60" s="143" t="str">
        <f>VLOOKUP(K60,Hist.BT!$A$4:$C$27,3,FALSE)</f>
        <v>Vermelha 1</v>
      </c>
      <c r="U60" s="145">
        <f>IFERROR(ROUND(VLOOKUP(T60,Hist.BT!$G$3:$I$6,3,FALSE)*Q60,2),"")</f>
        <v>0</v>
      </c>
      <c r="V60" s="145">
        <f t="shared" ref="V60:V67" si="76">IFERROR(ROUND(SUM(S60+U60)*(1-15%),2),"")</f>
        <v>0</v>
      </c>
      <c r="W60" s="145">
        <f t="shared" si="56"/>
        <v>0</v>
      </c>
      <c r="X60" s="145">
        <f t="shared" ref="X60:X67" si="77">O60-Q60</f>
        <v>5405.53</v>
      </c>
      <c r="Y60" s="145">
        <f t="shared" ref="Y60:Y67" si="78">SUMIF($J60:J$84,J60,$X60:X$84)</f>
        <v>20066.75</v>
      </c>
      <c r="Z60" s="146"/>
      <c r="AA60" s="146"/>
      <c r="AB60" s="146">
        <f t="shared" si="71"/>
        <v>0</v>
      </c>
      <c r="AC60" s="146"/>
      <c r="AD60" s="146"/>
      <c r="AE60" s="146"/>
      <c r="AF60" s="4"/>
      <c r="AG60" s="147">
        <f>VLOOKUP(H60,Cad.RateioConsumo!$B$4:$Z$106,8,FALSE)</f>
        <v>0.15</v>
      </c>
    </row>
    <row r="61" spans="1:33" ht="14.25" customHeight="1">
      <c r="A61" s="4"/>
      <c r="B61" s="4" t="str">
        <f t="shared" si="50"/>
        <v>2.110/2025</v>
      </c>
      <c r="C61" s="4" t="str">
        <f t="shared" si="72"/>
        <v>Usina 209/2025</v>
      </c>
      <c r="D61" s="108">
        <f t="shared" si="73"/>
        <v>1</v>
      </c>
      <c r="E61" s="108">
        <f t="shared" si="74"/>
        <v>9</v>
      </c>
      <c r="F61" s="108" t="s">
        <v>53</v>
      </c>
      <c r="G61" s="56">
        <f>VLOOKUP(F61,Cad.Usinas!$A$4:$B$6,2,FALSE)</f>
        <v>3023594470</v>
      </c>
      <c r="H61" s="109" t="s">
        <v>103</v>
      </c>
      <c r="I61" s="33" t="str">
        <f>VLOOKUP(H61,Cad.RateioConsumo!$B$4:$Z$106,2,FALSE)</f>
        <v>Lucas Medeiros Lima</v>
      </c>
      <c r="J61" s="140">
        <f>VLOOKUP(H61,Cad.RateioConsumo!$B$4:$Z$106,5,FALSE)</f>
        <v>3002796782</v>
      </c>
      <c r="K61" s="141" t="s">
        <v>125</v>
      </c>
      <c r="L61" s="141" t="s">
        <v>124</v>
      </c>
      <c r="M61" s="111">
        <f>VLOOKUP(H61,Cad.RateioConsumo!$B$4:$Z$106,7,FALSE)</f>
        <v>1536.5</v>
      </c>
      <c r="N61" s="86">
        <f>VLOOKUP(H61,Cad.RateioConsumo!$B$4:$Z$106,11,FALSE)</f>
        <v>0.10979999999999999</v>
      </c>
      <c r="O61" s="142">
        <f>IFERROR(ROUND(VLOOKUP(C61,Hist.Geração!$A$4:$F$64,4,FALSE)*N61,2)," ")</f>
        <v>1837.17</v>
      </c>
      <c r="P61" s="142" t="str">
        <f>IFERROR(VLOOKUP(B61,Hist.Consum!$B$61:$V$120,12,FALSE),"")</f>
        <v/>
      </c>
      <c r="Q61" s="143" t="str">
        <f>IFERROR(VLOOKUP(B61,Hist.Consum!$B$61:$V$120,15,FALSE),"")</f>
        <v/>
      </c>
      <c r="R61" s="144" t="str">
        <f>IFERROR(VLOOKUP(B61,Hist.Consum!$B$61:$W$120,22,FALSE),"")</f>
        <v/>
      </c>
      <c r="S61" s="145" t="str">
        <f t="shared" si="75"/>
        <v/>
      </c>
      <c r="T61" s="143" t="str">
        <f>VLOOKUP(K61,Hist.BT!$A$4:$C$27,3,FALSE)</f>
        <v>Vermelha 1</v>
      </c>
      <c r="U61" s="145" t="str">
        <f>IFERROR(ROUND(VLOOKUP(T61,Hist.BT!$G$3:$I$6,3,FALSE)*Q61,2),"")</f>
        <v/>
      </c>
      <c r="V61" s="145" t="str">
        <f t="shared" si="76"/>
        <v/>
      </c>
      <c r="W61" s="145" t="e">
        <f t="shared" si="56"/>
        <v>#VALUE!</v>
      </c>
      <c r="X61" s="145" t="e">
        <f t="shared" si="77"/>
        <v>#VALUE!</v>
      </c>
      <c r="Y61" s="145" t="e">
        <f t="shared" si="78"/>
        <v>#VALUE!</v>
      </c>
      <c r="Z61" s="146"/>
      <c r="AA61" s="146"/>
      <c r="AB61" s="146"/>
      <c r="AC61" s="146"/>
      <c r="AD61" s="146"/>
      <c r="AE61" s="146"/>
      <c r="AF61" s="4"/>
      <c r="AG61" s="147">
        <f>VLOOKUP(H61,Cad.RateioConsumo!$B$4:$Z$106,8,FALSE)</f>
        <v>0.15</v>
      </c>
    </row>
    <row r="62" spans="1:33" ht="14.25" customHeight="1">
      <c r="A62" s="4"/>
      <c r="B62" s="4" t="str">
        <f t="shared" si="50"/>
        <v>2.010/2025</v>
      </c>
      <c r="C62" s="4" t="str">
        <f t="shared" si="72"/>
        <v>Usina 209/2025</v>
      </c>
      <c r="D62" s="108">
        <f t="shared" si="73"/>
        <v>0</v>
      </c>
      <c r="E62" s="108" t="str">
        <f t="shared" si="74"/>
        <v>N/A</v>
      </c>
      <c r="F62" s="108" t="s">
        <v>53</v>
      </c>
      <c r="G62" s="56">
        <f>VLOOKUP(F62,Cad.Usinas!$A$4:$B$6,2,FALSE)</f>
        <v>3023594470</v>
      </c>
      <c r="H62" s="109" t="s">
        <v>113</v>
      </c>
      <c r="I62" s="33" t="str">
        <f>VLOOKUP(H62,Cad.RateioConsumo!$B$4:$Z$106,2,FALSE)</f>
        <v>Usina 2</v>
      </c>
      <c r="J62" s="140">
        <f>VLOOKUP(H62,Cad.RateioConsumo!$B$4:$Z$106,5,FALSE)</f>
        <v>3023594470</v>
      </c>
      <c r="K62" s="141" t="s">
        <v>125</v>
      </c>
      <c r="L62" s="141" t="s">
        <v>124</v>
      </c>
      <c r="M62" s="111">
        <f>VLOOKUP(H62,Cad.RateioConsumo!$B$4:$Z$106,7,FALSE)</f>
        <v>14000</v>
      </c>
      <c r="N62" s="86">
        <f>VLOOKUP(H62,Cad.RateioConsumo!$B$4:$Z$106,11,FALSE)</f>
        <v>1</v>
      </c>
      <c r="O62" s="142">
        <f>IFERROR(ROUND(VLOOKUP(C62,Hist.Geração!$A$4:$F$64,4,FALSE)*N62,2)," ")</f>
        <v>16732</v>
      </c>
      <c r="P62" s="142">
        <f>IFERROR(VLOOKUP(B62,Hist.Consum!$B$61:$V$120,12,FALSE),"")</f>
        <v>0</v>
      </c>
      <c r="Q62" s="143">
        <f>IFERROR(VLOOKUP(B62,Hist.Consum!$B$61:$V$120,15,FALSE),"")</f>
        <v>0</v>
      </c>
      <c r="R62" s="144">
        <f>IFERROR(VLOOKUP(B62,Hist.Consum!$B$61:$W$120,22,FALSE),"")</f>
        <v>1.1698</v>
      </c>
      <c r="S62" s="145">
        <f t="shared" si="75"/>
        <v>0</v>
      </c>
      <c r="T62" s="143" t="str">
        <f>VLOOKUP(K62,Hist.BT!$A$4:$C$27,3,FALSE)</f>
        <v>Vermelha 1</v>
      </c>
      <c r="U62" s="145">
        <f>IFERROR(ROUND(VLOOKUP(T62,Hist.BT!$G$3:$I$6,3,FALSE)*Q62,2),"")</f>
        <v>0</v>
      </c>
      <c r="V62" s="145">
        <f t="shared" si="76"/>
        <v>0</v>
      </c>
      <c r="W62" s="145">
        <f t="shared" si="56"/>
        <v>0</v>
      </c>
      <c r="X62" s="145">
        <f t="shared" si="77"/>
        <v>16732</v>
      </c>
      <c r="Y62" s="145">
        <f t="shared" si="78"/>
        <v>64748</v>
      </c>
      <c r="Z62" s="146"/>
      <c r="AA62" s="146"/>
      <c r="AB62" s="146">
        <f t="shared" ref="AB62:AB75" si="79">SUMIF($J62:J$84,J62,$Q62:Q$84)</f>
        <v>0</v>
      </c>
      <c r="AC62" s="146"/>
      <c r="AD62" s="146"/>
      <c r="AE62" s="146"/>
      <c r="AF62" s="4"/>
      <c r="AG62" s="147">
        <f>VLOOKUP(H62,Cad.RateioConsumo!$B$4:$Z$106,8,FALSE)</f>
        <v>0.15</v>
      </c>
    </row>
    <row r="63" spans="1:33" ht="14.25" customHeight="1">
      <c r="A63" s="4"/>
      <c r="B63" s="4" t="str">
        <f t="shared" si="50"/>
        <v>3.110/2025</v>
      </c>
      <c r="C63" s="4" t="str">
        <f t="shared" si="72"/>
        <v>Usina 309/2025</v>
      </c>
      <c r="D63" s="108">
        <f t="shared" si="73"/>
        <v>1</v>
      </c>
      <c r="E63" s="108">
        <f t="shared" si="74"/>
        <v>8</v>
      </c>
      <c r="F63" s="108" t="s">
        <v>57</v>
      </c>
      <c r="G63" s="56">
        <f>VLOOKUP(F63,Cad.Usinas!$A$4:$B$6,2,FALSE)</f>
        <v>3023637013</v>
      </c>
      <c r="H63" s="109" t="s">
        <v>70</v>
      </c>
      <c r="I63" s="33" t="str">
        <f>VLOOKUP(H63,Cad.RateioConsumo!$B$4:$Z$106,2,FALSE)</f>
        <v>Associação dos Moradores do Residencial Araçagy</v>
      </c>
      <c r="J63" s="140">
        <f>VLOOKUP(H63,Cad.RateioConsumo!$B$4:$Z$106,5,FALSE)</f>
        <v>3021142432</v>
      </c>
      <c r="K63" s="141" t="s">
        <v>125</v>
      </c>
      <c r="L63" s="141" t="s">
        <v>124</v>
      </c>
      <c r="M63" s="151">
        <f>VLOOKUP(H63,Cad.RateioConsumo!$B$4:$Z$106,7,FALSE)</f>
        <v>205.36363636363637</v>
      </c>
      <c r="N63" s="86">
        <f>VLOOKUP(H63,Cad.RateioConsumo!$B$4:$Z$106,11,FALSE)</f>
        <v>1.47E-2</v>
      </c>
      <c r="O63" s="142">
        <f>IFERROR(ROUND(VLOOKUP(C63,Hist.Geração!$A$4:$F$64,4,FALSE)*N63,2)," ")</f>
        <v>240.17</v>
      </c>
      <c r="P63" s="142">
        <f>VLOOKUP(B63,Hist.Consum!$B$61:$S$135,12,FALSE)</f>
        <v>100</v>
      </c>
      <c r="Q63" s="143">
        <f>IFERROR(VLOOKUP(B63,Hist.Consum!$B$61:$V$120,15,FALSE),"")</f>
        <v>123.85</v>
      </c>
      <c r="R63" s="144">
        <f>IFERROR(VLOOKUP(B63,Hist.Consum!$B$61:$W$120,22,FALSE),"")</f>
        <v>1.1698</v>
      </c>
      <c r="S63" s="145">
        <f t="shared" si="75"/>
        <v>144.87973</v>
      </c>
      <c r="T63" s="143" t="str">
        <f>VLOOKUP(K63,Hist.BT!$A$4:$C$27,3,FALSE)</f>
        <v>Vermelha 1</v>
      </c>
      <c r="U63" s="145">
        <f>IFERROR(ROUND(VLOOKUP(T63,Hist.BT!$G$3:$I$6,3,FALSE)*Q63,2),"")</f>
        <v>7.18</v>
      </c>
      <c r="V63" s="145">
        <f t="shared" si="76"/>
        <v>129.25</v>
      </c>
      <c r="W63" s="145">
        <f t="shared" si="56"/>
        <v>22.809730000000002</v>
      </c>
      <c r="X63" s="145">
        <f t="shared" si="77"/>
        <v>116.32</v>
      </c>
      <c r="Y63" s="145">
        <f t="shared" si="78"/>
        <v>220.51999999999998</v>
      </c>
      <c r="Z63" s="146"/>
      <c r="AA63" s="146"/>
      <c r="AB63" s="146">
        <f t="shared" si="79"/>
        <v>259.69</v>
      </c>
      <c r="AC63" s="146"/>
      <c r="AD63" s="146" t="str">
        <f t="shared" ref="AD63:AD66" si="80">IF((Y63/M63)&gt;1,"Mudar Urgente",IF((Y63/M63)&gt;0.4,"Rever Rateio",("ok")))</f>
        <v>Mudar Urgente</v>
      </c>
      <c r="AE63" s="146">
        <f>Y63/M63</f>
        <v>1.0738025675077467</v>
      </c>
      <c r="AF63" s="4"/>
      <c r="AG63" s="147">
        <f>VLOOKUP(H63,Cad.RateioConsumo!$B$4:$Z$106,8,FALSE)</f>
        <v>0.15</v>
      </c>
    </row>
    <row r="64" spans="1:33" ht="14.25" customHeight="1">
      <c r="A64" s="4"/>
      <c r="B64" s="4" t="str">
        <f t="shared" si="50"/>
        <v>3.210/2025</v>
      </c>
      <c r="C64" s="4" t="str">
        <f t="shared" si="72"/>
        <v>Usina 309/2025</v>
      </c>
      <c r="D64" s="108">
        <f t="shared" si="73"/>
        <v>1</v>
      </c>
      <c r="E64" s="108">
        <f t="shared" si="74"/>
        <v>7</v>
      </c>
      <c r="F64" s="108" t="s">
        <v>57</v>
      </c>
      <c r="G64" s="56">
        <f>VLOOKUP(F64,Cad.Usinas!$A$4:$B$6,2,FALSE)</f>
        <v>3023637013</v>
      </c>
      <c r="H64" s="109" t="s">
        <v>75</v>
      </c>
      <c r="I64" s="33" t="str">
        <f>VLOOKUP(H64,Cad.RateioConsumo!$B$4:$Z$106,2,FALSE)</f>
        <v>Associação dos Moradores do Residencial Araçagy</v>
      </c>
      <c r="J64" s="140">
        <f>VLOOKUP(H64,Cad.RateioConsumo!$B$4:$Z$106,5,FALSE)</f>
        <v>3021149593</v>
      </c>
      <c r="K64" s="141" t="s">
        <v>125</v>
      </c>
      <c r="L64" s="141" t="s">
        <v>124</v>
      </c>
      <c r="M64" s="111">
        <f>VLOOKUP(H64,Cad.RateioConsumo!$B$4:$Z$106,7,FALSE)</f>
        <v>734.33333333333337</v>
      </c>
      <c r="N64" s="86">
        <f>VLOOKUP(H64,Cad.RateioConsumo!$B$4:$Z$106,11,FALSE)</f>
        <v>5.2499999999999998E-2</v>
      </c>
      <c r="O64" s="142">
        <f>IFERROR(ROUND(VLOOKUP(C64,Hist.Geração!$A$4:$F$64,4,FALSE)*N64,2)," ")</f>
        <v>857.75</v>
      </c>
      <c r="P64" s="142">
        <f>VLOOKUP(B64,Hist.Consum!$B$61:$V$120,12,FALSE)</f>
        <v>165.2</v>
      </c>
      <c r="Q64" s="143">
        <f>IFERROR(VLOOKUP(B64,Hist.Consum!$B$61:$V$120,15,FALSE),"")</f>
        <v>857.74</v>
      </c>
      <c r="R64" s="144">
        <f>IFERROR(VLOOKUP(B64,Hist.Consum!$B$61:$W$120,22,FALSE),"")</f>
        <v>1.1698</v>
      </c>
      <c r="S64" s="145">
        <f t="shared" si="75"/>
        <v>1003.3842519999999</v>
      </c>
      <c r="T64" s="143" t="str">
        <f>VLOOKUP(K64,Hist.BT!$A$4:$C$27,3,FALSE)</f>
        <v>Vermelha 1</v>
      </c>
      <c r="U64" s="145">
        <f>IFERROR(ROUND(VLOOKUP(T64,Hist.BT!$G$3:$I$6,3,FALSE)*Q64,2),"")</f>
        <v>49.72</v>
      </c>
      <c r="V64" s="145">
        <f t="shared" si="76"/>
        <v>895.14</v>
      </c>
      <c r="W64" s="145">
        <f t="shared" si="56"/>
        <v>157.96425199999987</v>
      </c>
      <c r="X64" s="145">
        <f t="shared" si="77"/>
        <v>9.9999999999909051E-3</v>
      </c>
      <c r="Y64" s="145">
        <f t="shared" si="78"/>
        <v>9.9999999999909051E-3</v>
      </c>
      <c r="Z64" s="146"/>
      <c r="AA64" s="146"/>
      <c r="AB64" s="146">
        <f t="shared" si="79"/>
        <v>1715.01</v>
      </c>
      <c r="AC64" s="146"/>
      <c r="AD64" s="146" t="str">
        <f t="shared" si="80"/>
        <v>ok</v>
      </c>
      <c r="AE64" s="146"/>
      <c r="AF64" s="4"/>
      <c r="AG64" s="147">
        <f>VLOOKUP(H64,Cad.RateioConsumo!$B$4:$Z$106,8,FALSE)</f>
        <v>0.15</v>
      </c>
    </row>
    <row r="65" spans="1:33" ht="14.25" customHeight="1">
      <c r="A65" s="4"/>
      <c r="B65" s="4" t="str">
        <f t="shared" si="50"/>
        <v>3.310/2025</v>
      </c>
      <c r="C65" s="4" t="str">
        <f t="shared" si="72"/>
        <v>Usina 309/2025</v>
      </c>
      <c r="D65" s="108">
        <f t="shared" si="73"/>
        <v>1</v>
      </c>
      <c r="E65" s="108">
        <f t="shared" si="74"/>
        <v>6</v>
      </c>
      <c r="F65" s="108" t="s">
        <v>57</v>
      </c>
      <c r="G65" s="56">
        <f>VLOOKUP(F65,Cad.Usinas!$A$4:$B$6,2,FALSE)</f>
        <v>3023637013</v>
      </c>
      <c r="H65" s="109" t="s">
        <v>77</v>
      </c>
      <c r="I65" s="33" t="str">
        <f>VLOOKUP(H65,Cad.RateioConsumo!$B$4:$Z$106,2,FALSE)</f>
        <v>Associação dos Moradores do Residencial Araçagy</v>
      </c>
      <c r="J65" s="140">
        <f>VLOOKUP(H65,Cad.RateioConsumo!$B$4:$Z$106,5,FALSE)</f>
        <v>3021150559</v>
      </c>
      <c r="K65" s="141" t="s">
        <v>125</v>
      </c>
      <c r="L65" s="141" t="s">
        <v>124</v>
      </c>
      <c r="M65" s="111">
        <f>VLOOKUP(H65,Cad.RateioConsumo!$B$4:$Z$106,7,FALSE)</f>
        <v>2086.4545454545455</v>
      </c>
      <c r="N65" s="86">
        <v>0.14899999999999999</v>
      </c>
      <c r="O65" s="142">
        <f>IFERROR(ROUND(VLOOKUP(C65,Hist.Geração!$A$4:$F$64,4,FALSE)*N65,2)," ")</f>
        <v>2434.36</v>
      </c>
      <c r="P65" s="142">
        <f>VLOOKUP(B65,Hist.Consum!$B$61:$V$120,12,FALSE)</f>
        <v>100</v>
      </c>
      <c r="Q65" s="143">
        <f>IFERROR(VLOOKUP(B65,Hist.Consum!$B$61:$V$120,15,FALSE),"")</f>
        <v>1875.71</v>
      </c>
      <c r="R65" s="144">
        <f>IFERROR(VLOOKUP(B65,Hist.Consum!$B$61:$W$120,22,FALSE),"")</f>
        <v>1.1698</v>
      </c>
      <c r="S65" s="145">
        <f t="shared" si="75"/>
        <v>2194.2055580000001</v>
      </c>
      <c r="T65" s="143" t="str">
        <f>VLOOKUP(K65,Hist.BT!$A$4:$C$27,3,FALSE)</f>
        <v>Vermelha 1</v>
      </c>
      <c r="U65" s="145">
        <f>IFERROR(ROUND(VLOOKUP(T65,Hist.BT!$G$3:$I$6,3,FALSE)*Q65,2),"")</f>
        <v>108.72</v>
      </c>
      <c r="V65" s="145">
        <f t="shared" si="76"/>
        <v>1957.49</v>
      </c>
      <c r="W65" s="145">
        <f t="shared" si="56"/>
        <v>345.4355579999999</v>
      </c>
      <c r="X65" s="145">
        <f t="shared" si="77"/>
        <v>558.65000000000009</v>
      </c>
      <c r="Y65" s="145">
        <f t="shared" si="78"/>
        <v>1258.3800000000001</v>
      </c>
      <c r="Z65" s="146"/>
      <c r="AA65" s="146"/>
      <c r="AB65" s="146">
        <f t="shared" si="79"/>
        <v>3609</v>
      </c>
      <c r="AC65" s="146"/>
      <c r="AD65" s="146" t="str">
        <f t="shared" si="80"/>
        <v>Rever Rateio</v>
      </c>
      <c r="AE65" s="146"/>
      <c r="AF65" s="4"/>
      <c r="AG65" s="147">
        <f>VLOOKUP(H65,Cad.RateioConsumo!$B$4:$Z$106,8,FALSE)</f>
        <v>0.15</v>
      </c>
    </row>
    <row r="66" spans="1:33" ht="14.25" customHeight="1">
      <c r="A66" s="4"/>
      <c r="B66" s="4" t="str">
        <f t="shared" si="50"/>
        <v>3.410/2025</v>
      </c>
      <c r="C66" s="4" t="str">
        <f t="shared" si="72"/>
        <v>Usina 309/2025</v>
      </c>
      <c r="D66" s="108">
        <f t="shared" si="73"/>
        <v>1</v>
      </c>
      <c r="E66" s="108">
        <f t="shared" si="74"/>
        <v>5</v>
      </c>
      <c r="F66" s="108" t="s">
        <v>57</v>
      </c>
      <c r="G66" s="56">
        <f>VLOOKUP(F66,Cad.Usinas!$A$4:$B$6,2,FALSE)</f>
        <v>3023637013</v>
      </c>
      <c r="H66" s="109" t="s">
        <v>82</v>
      </c>
      <c r="I66" s="33" t="str">
        <f>VLOOKUP(H66,Cad.RateioConsumo!$B$4:$Z$106,2,FALSE)</f>
        <v>Antonio Jose Souza Filho</v>
      </c>
      <c r="J66" s="140">
        <f>VLOOKUP(H66,Cad.RateioConsumo!$B$4:$Z$106,5,FALSE)</f>
        <v>3007625048</v>
      </c>
      <c r="K66" s="141" t="s">
        <v>125</v>
      </c>
      <c r="L66" s="141" t="s">
        <v>124</v>
      </c>
      <c r="M66" s="111">
        <f>VLOOKUP(H66,Cad.RateioConsumo!$B$4:$Z$106,7,FALSE)</f>
        <v>417.15384615384613</v>
      </c>
      <c r="N66" s="86">
        <f>VLOOKUP(H66,Cad.RateioConsumo!$B$4:$Z$106,11,FALSE)</f>
        <v>2.98E-2</v>
      </c>
      <c r="O66" s="142">
        <f>IFERROR(ROUND(VLOOKUP(C66,Hist.Geração!$A$4:$F$64,4,FALSE)*N66,2)," ")</f>
        <v>486.87</v>
      </c>
      <c r="P66" s="142">
        <f>VLOOKUP(B66,Hist.Consum!$B$61:$V$120,12,FALSE)</f>
        <v>30</v>
      </c>
      <c r="Q66" s="143">
        <f>IFERROR(VLOOKUP(B66,Hist.Consum!$B$61:$V$120,15,FALSE),"")</f>
        <v>476</v>
      </c>
      <c r="R66" s="144">
        <f>IFERROR(VLOOKUP(B66,Hist.Consum!$B$61:$W$120,22,FALSE),"")</f>
        <v>1.1698</v>
      </c>
      <c r="S66" s="145">
        <f t="shared" si="75"/>
        <v>556.82479999999998</v>
      </c>
      <c r="T66" s="143" t="str">
        <f>VLOOKUP(K66,Hist.BT!$A$4:$C$27,3,FALSE)</f>
        <v>Vermelha 1</v>
      </c>
      <c r="U66" s="145">
        <f>IFERROR(ROUND(VLOOKUP(T66,Hist.BT!$G$3:$I$6,3,FALSE)*Q66,2),"")</f>
        <v>27.59</v>
      </c>
      <c r="V66" s="153">
        <f t="shared" si="76"/>
        <v>496.75</v>
      </c>
      <c r="W66" s="145">
        <f t="shared" si="56"/>
        <v>87.664800000000014</v>
      </c>
      <c r="X66" s="145">
        <f t="shared" si="77"/>
        <v>10.870000000000005</v>
      </c>
      <c r="Y66" s="145">
        <f t="shared" si="78"/>
        <v>31.470000000000027</v>
      </c>
      <c r="Z66" s="146"/>
      <c r="AA66" s="146"/>
      <c r="AB66" s="146">
        <f t="shared" si="79"/>
        <v>942</v>
      </c>
      <c r="AC66" s="146"/>
      <c r="AD66" s="146" t="str">
        <f t="shared" si="80"/>
        <v>ok</v>
      </c>
      <c r="AE66" s="146"/>
      <c r="AF66" s="4"/>
      <c r="AG66" s="147">
        <f>VLOOKUP(H66,Cad.RateioConsumo!$B$4:$Z$106,8,FALSE)</f>
        <v>0.15</v>
      </c>
    </row>
    <row r="67" spans="1:33" ht="14.25" customHeight="1">
      <c r="A67" s="4"/>
      <c r="B67" s="4" t="str">
        <f t="shared" si="50"/>
        <v>3.010/2025</v>
      </c>
      <c r="C67" s="4" t="str">
        <f t="shared" si="72"/>
        <v>Usina 309/2025</v>
      </c>
      <c r="D67" s="108">
        <f t="shared" si="73"/>
        <v>0</v>
      </c>
      <c r="E67" s="108" t="str">
        <f t="shared" si="74"/>
        <v>N/A</v>
      </c>
      <c r="F67" s="108" t="s">
        <v>57</v>
      </c>
      <c r="G67" s="56">
        <f>VLOOKUP(F67,Cad.Usinas!$A$4:$B$6,2,FALSE)</f>
        <v>3023637013</v>
      </c>
      <c r="H67" s="109" t="s">
        <v>101</v>
      </c>
      <c r="I67" s="33" t="str">
        <f>VLOOKUP(H67,Cad.RateioConsumo!$B$4:$Z$106,2,FALSE)</f>
        <v>Usina 3</v>
      </c>
      <c r="J67" s="140">
        <f>VLOOKUP(H67,Cad.RateioConsumo!$B$4:$Z$106,5,FALSE)</f>
        <v>3023637013</v>
      </c>
      <c r="K67" s="141" t="s">
        <v>125</v>
      </c>
      <c r="L67" s="141" t="s">
        <v>124</v>
      </c>
      <c r="M67" s="111">
        <f>VLOOKUP(H67,Cad.RateioConsumo!$B$4:$Z$106,7,FALSE)</f>
        <v>8931.2331002331011</v>
      </c>
      <c r="N67" s="86">
        <f>VLOOKUP(H67,Cad.RateioConsumo!$B$4:$Z$106,11,FALSE)</f>
        <v>0.67989999999999995</v>
      </c>
      <c r="O67" s="142">
        <f>IFERROR(ROUND(VLOOKUP(C67,Hist.Geração!$A$4:$F$64,4,FALSE)*N67,2)," ")</f>
        <v>11108.21</v>
      </c>
      <c r="P67" s="142">
        <f>IFERROR(VLOOKUP(B67,Hist.Consum!$B$61:$V$120,12,FALSE),"")</f>
        <v>0</v>
      </c>
      <c r="Q67" s="143">
        <f>IFERROR(VLOOKUP(B67,Hist.Consum!$B$61:$V$120,15,FALSE),"")</f>
        <v>0</v>
      </c>
      <c r="R67" s="144">
        <f>IFERROR(VLOOKUP(B67,Hist.Consum!$B$61:$W$120,22,FALSE),"")</f>
        <v>1.1698</v>
      </c>
      <c r="S67" s="145">
        <f t="shared" si="75"/>
        <v>0</v>
      </c>
      <c r="T67" s="143" t="str">
        <f>VLOOKUP(K67,Hist.BT!$A$4:$C$27,3,FALSE)</f>
        <v>Vermelha 1</v>
      </c>
      <c r="U67" s="145">
        <f>IFERROR(ROUND(VLOOKUP(T67,Hist.BT!$G$3:$I$6,3,FALSE)*Q67,2),"")</f>
        <v>0</v>
      </c>
      <c r="V67" s="145">
        <f t="shared" si="76"/>
        <v>0</v>
      </c>
      <c r="W67" s="145">
        <f t="shared" si="56"/>
        <v>0</v>
      </c>
      <c r="X67" s="145">
        <f t="shared" si="77"/>
        <v>11108.21</v>
      </c>
      <c r="Y67" s="145">
        <f t="shared" si="78"/>
        <v>52543.28</v>
      </c>
      <c r="Z67" s="146"/>
      <c r="AA67" s="146"/>
      <c r="AB67" s="146">
        <f t="shared" si="79"/>
        <v>0</v>
      </c>
      <c r="AC67" s="146"/>
      <c r="AD67" s="146"/>
      <c r="AE67" s="146"/>
      <c r="AF67" s="4"/>
      <c r="AG67" s="147">
        <f>VLOOKUP(H67,Cad.RateioConsumo!$B$4:$Z$106,8,FALSE)</f>
        <v>0.15</v>
      </c>
    </row>
    <row r="68" spans="1:33" ht="14.25" customHeight="1">
      <c r="A68" s="4"/>
      <c r="B68" s="4" t="str">
        <f t="shared" si="50"/>
        <v/>
      </c>
      <c r="C68" s="4"/>
      <c r="D68" s="4"/>
      <c r="E68" s="4"/>
      <c r="F68" s="4"/>
      <c r="G68" s="4"/>
      <c r="H68" s="4"/>
      <c r="I68" s="4"/>
      <c r="J68" s="30"/>
      <c r="K68" s="30"/>
      <c r="L68" s="30"/>
      <c r="M68" s="4"/>
      <c r="N68" s="4"/>
      <c r="O68" s="4"/>
      <c r="P68" s="4"/>
      <c r="Q68" s="4"/>
      <c r="R68" s="4"/>
      <c r="S68" s="4"/>
      <c r="T68" s="4"/>
      <c r="U68" s="4"/>
      <c r="V68" s="4"/>
      <c r="W68" s="145">
        <f t="shared" si="56"/>
        <v>0</v>
      </c>
      <c r="X68" s="4"/>
      <c r="Y68" s="4"/>
      <c r="Z68" s="4"/>
      <c r="AA68" s="4"/>
      <c r="AB68" s="146">
        <f t="shared" si="79"/>
        <v>0</v>
      </c>
      <c r="AC68" s="146"/>
      <c r="AD68" s="146"/>
      <c r="AE68" s="146"/>
      <c r="AF68" s="4"/>
      <c r="AG68" s="147" t="e">
        <f>VLOOKUP(H68,Cad.RateioConsumo!$B$4:$Z$106,8,FALSE)</f>
        <v>#N/A</v>
      </c>
    </row>
    <row r="69" spans="1:33" ht="14.25" customHeight="1">
      <c r="A69" s="4"/>
      <c r="B69" s="4" t="str">
        <f t="shared" si="50"/>
        <v>1.009/2025</v>
      </c>
      <c r="C69" s="4" t="str">
        <f t="shared" ref="C69:C75" si="81">F69&amp;L69</f>
        <v>Usina 108/2025</v>
      </c>
      <c r="D69" s="108">
        <f t="shared" ref="D69:D75" si="82">IF(J69=G69,0,1)</f>
        <v>0</v>
      </c>
      <c r="E69" s="108" t="str">
        <f t="shared" ref="E69:E75" si="83">IF(D69=0,"N/A",SUM($D69:D$83))</f>
        <v>N/A</v>
      </c>
      <c r="F69" s="108" t="s">
        <v>49</v>
      </c>
      <c r="G69" s="56">
        <f>VLOOKUP(F69,Cad.Usinas!$A$4:$B$6,2,FALSE)</f>
        <v>3023633492</v>
      </c>
      <c r="H69" s="109" t="s">
        <v>114</v>
      </c>
      <c r="I69" s="33" t="str">
        <f>VLOOKUP(H69,Cad.RateioConsumo!$B$4:$Z$106,2,FALSE)</f>
        <v>Usina 1</v>
      </c>
      <c r="J69" s="140">
        <f>VLOOKUP(H69,Cad.RateioConsumo!$B$4:$Z$106,5,FALSE)</f>
        <v>3023633492</v>
      </c>
      <c r="K69" s="141" t="s">
        <v>124</v>
      </c>
      <c r="L69" s="141" t="s">
        <v>123</v>
      </c>
      <c r="M69" s="111">
        <f>VLOOKUP(H69,Cad.RateioConsumo!$B$4:$Z$106,7,FALSE)</f>
        <v>14000</v>
      </c>
      <c r="N69" s="86">
        <f>VLOOKUP(H69,Cad.RateioConsumo!$B$4:$Z$106,11,FALSE)</f>
        <v>0.32010000000000005</v>
      </c>
      <c r="O69" s="142">
        <f>IFERROR(ROUND(VLOOKUP(C69,Hist.Geração!$A$4:$F$64,4,FALSE)*N69,2)," ")</f>
        <v>5312.7</v>
      </c>
      <c r="P69" s="145"/>
      <c r="Q69" s="145"/>
      <c r="R69" s="143"/>
      <c r="S69" s="154">
        <f t="shared" ref="S69:S75" si="84">ROUND(Q69*R69,2)</f>
        <v>0</v>
      </c>
      <c r="T69" s="143" t="str">
        <f>VLOOKUP(K69,Hist.BT!$A$4:$C$27,3,FALSE)</f>
        <v>Vermelha 2</v>
      </c>
      <c r="U69" s="145">
        <f>ROUND(VLOOKUP(T69,Hist.BT!$G$3:$I$6,3,FALSE)*Q69,2)</f>
        <v>0</v>
      </c>
      <c r="V69" s="145">
        <f t="shared" ref="V69:V75" si="85">ROUND(SUM(S69+U69)*(1-15%),2)</f>
        <v>0</v>
      </c>
      <c r="W69" s="145">
        <f t="shared" si="56"/>
        <v>0</v>
      </c>
      <c r="X69" s="145">
        <f t="shared" ref="X69:X75" si="86">O69-Q69</f>
        <v>5312.7</v>
      </c>
      <c r="Y69" s="145">
        <f t="shared" ref="Y69:Y75" si="87">SUMIF($J69:J$84,J69,$X69:X$84)</f>
        <v>14661.22</v>
      </c>
      <c r="Z69" s="155">
        <f>VLOOKUP(B69,Hist.Consum!$B$71:$V$147,11,FALSE)</f>
        <v>0</v>
      </c>
      <c r="AA69" s="155"/>
      <c r="AB69" s="146">
        <f t="shared" si="79"/>
        <v>0</v>
      </c>
      <c r="AC69" s="146"/>
      <c r="AD69" s="146"/>
      <c r="AE69" s="146"/>
      <c r="AF69" s="4"/>
      <c r="AG69" s="147">
        <f>VLOOKUP(H69,Cad.RateioConsumo!$B$4:$Z$106,8,FALSE)</f>
        <v>0.15</v>
      </c>
    </row>
    <row r="70" spans="1:33" ht="14.25" customHeight="1">
      <c r="A70" s="4"/>
      <c r="B70" s="4" t="str">
        <f t="shared" si="50"/>
        <v>2.009/2025</v>
      </c>
      <c r="C70" s="4" t="str">
        <f t="shared" si="81"/>
        <v>Usina 208/2025</v>
      </c>
      <c r="D70" s="108">
        <f t="shared" si="82"/>
        <v>0</v>
      </c>
      <c r="E70" s="108" t="str">
        <f t="shared" si="83"/>
        <v>N/A</v>
      </c>
      <c r="F70" s="108" t="s">
        <v>53</v>
      </c>
      <c r="G70" s="56">
        <f>VLOOKUP(F70,Cad.Usinas!$A$4:$B$6,2,FALSE)</f>
        <v>3023594470</v>
      </c>
      <c r="H70" s="109" t="s">
        <v>113</v>
      </c>
      <c r="I70" s="33" t="str">
        <f>VLOOKUP(H70,Cad.RateioConsumo!$B$4:$Z$106,2,FALSE)</f>
        <v>Usina 2</v>
      </c>
      <c r="J70" s="140">
        <f>VLOOKUP(H70,Cad.RateioConsumo!$B$4:$Z$106,5,FALSE)</f>
        <v>3023594470</v>
      </c>
      <c r="K70" s="141" t="s">
        <v>124</v>
      </c>
      <c r="L70" s="141" t="s">
        <v>123</v>
      </c>
      <c r="M70" s="111">
        <f>VLOOKUP(H70,Cad.RateioConsumo!$B$4:$Z$106,7,FALSE)</f>
        <v>14000</v>
      </c>
      <c r="N70" s="86">
        <f>VLOOKUP(H70,Cad.RateioConsumo!$B$4:$Z$106,11,FALSE)</f>
        <v>1</v>
      </c>
      <c r="O70" s="142">
        <f>IFERROR(ROUND(VLOOKUP(C70,Hist.Geração!$A$4:$F$64,4,FALSE)*N70,2)," ")</f>
        <v>16448</v>
      </c>
      <c r="P70" s="145"/>
      <c r="Q70" s="145"/>
      <c r="R70" s="143"/>
      <c r="S70" s="154">
        <f t="shared" si="84"/>
        <v>0</v>
      </c>
      <c r="T70" s="143" t="str">
        <f>VLOOKUP(K70,Hist.BT!$A$4:$C$27,3,FALSE)</f>
        <v>Vermelha 2</v>
      </c>
      <c r="U70" s="145">
        <f>ROUND(VLOOKUP(T70,Hist.BT!$G$3:$I$6,3,FALSE)*Q70,2)</f>
        <v>0</v>
      </c>
      <c r="V70" s="145">
        <f t="shared" si="85"/>
        <v>0</v>
      </c>
      <c r="W70" s="145">
        <f t="shared" si="56"/>
        <v>0</v>
      </c>
      <c r="X70" s="145">
        <f t="shared" si="86"/>
        <v>16448</v>
      </c>
      <c r="Y70" s="145">
        <f t="shared" si="87"/>
        <v>48016</v>
      </c>
      <c r="Z70" s="155">
        <f>VLOOKUP(B70,Hist.Consum!$B$71:$V$147,11,FALSE)</f>
        <v>0</v>
      </c>
      <c r="AA70" s="155"/>
      <c r="AB70" s="146">
        <f t="shared" si="79"/>
        <v>0</v>
      </c>
      <c r="AC70" s="146"/>
      <c r="AD70" s="146"/>
      <c r="AE70" s="146"/>
      <c r="AF70" s="4"/>
      <c r="AG70" s="147">
        <f>VLOOKUP(H70,Cad.RateioConsumo!$B$4:$Z$106,8,FALSE)</f>
        <v>0.15</v>
      </c>
    </row>
    <row r="71" spans="1:33" ht="14.25" customHeight="1">
      <c r="A71" s="4"/>
      <c r="B71" s="4" t="str">
        <f t="shared" si="50"/>
        <v>3.109/2025</v>
      </c>
      <c r="C71" s="4" t="str">
        <f t="shared" si="81"/>
        <v>Usina 308/2025</v>
      </c>
      <c r="D71" s="108">
        <f t="shared" si="82"/>
        <v>1</v>
      </c>
      <c r="E71" s="108">
        <f t="shared" si="83"/>
        <v>4</v>
      </c>
      <c r="F71" s="108" t="s">
        <v>57</v>
      </c>
      <c r="G71" s="56">
        <f>VLOOKUP(F71,Cad.Usinas!$A$4:$B$6,2,FALSE)</f>
        <v>3023637013</v>
      </c>
      <c r="H71" s="109" t="s">
        <v>70</v>
      </c>
      <c r="I71" s="33" t="str">
        <f>VLOOKUP(H71,Cad.RateioConsumo!$B$4:$Z$106,2,FALSE)</f>
        <v>Associação dos Moradores do Residencial Araçagy</v>
      </c>
      <c r="J71" s="140">
        <f>VLOOKUP(H71,Cad.RateioConsumo!$B$4:$Z$106,5,FALSE)</f>
        <v>3021142432</v>
      </c>
      <c r="K71" s="141" t="s">
        <v>124</v>
      </c>
      <c r="L71" s="141" t="s">
        <v>123</v>
      </c>
      <c r="M71" s="111">
        <f>VLOOKUP(H71,Cad.RateioConsumo!$B$4:$Z$106,7,FALSE)</f>
        <v>205.36363636363637</v>
      </c>
      <c r="N71" s="86">
        <f>VLOOKUP(H71,Cad.RateioConsumo!$B$4:$Z$106,11,FALSE)</f>
        <v>1.47E-2</v>
      </c>
      <c r="O71" s="142">
        <f>IFERROR(ROUND(VLOOKUP(C71,Hist.Geração!$A$4:$F$64,4,FALSE)*N71,2)," ")</f>
        <v>240.04</v>
      </c>
      <c r="P71" s="142">
        <f>VLOOKUP(B71,Hist.Consum!$B$71:$V$147,12,FALSE)</f>
        <v>100</v>
      </c>
      <c r="Q71" s="145">
        <f>VLOOKUP(B71,Hist.Consum!$B$71:$V$147,15,FALSE())</f>
        <v>135.84</v>
      </c>
      <c r="R71" s="156">
        <f>VLOOKUP(B71,Hist.Consum!$B$71:$V$147,13,FALSE)</f>
        <v>1.0037</v>
      </c>
      <c r="S71" s="154">
        <f t="shared" si="84"/>
        <v>136.34</v>
      </c>
      <c r="T71" s="143" t="str">
        <f>VLOOKUP(K71,Hist.BT!$A$4:$C$27,3,FALSE)</f>
        <v>Vermelha 2</v>
      </c>
      <c r="U71" s="145">
        <f>ROUND(VLOOKUP(T71,Hist.BT!$G$3:$I$6,3,FALSE)*Q71,2)</f>
        <v>13.9</v>
      </c>
      <c r="V71" s="145">
        <f t="shared" si="85"/>
        <v>127.7</v>
      </c>
      <c r="W71" s="145">
        <f t="shared" si="56"/>
        <v>22.540000000000006</v>
      </c>
      <c r="X71" s="145">
        <f t="shared" si="86"/>
        <v>104.19999999999999</v>
      </c>
      <c r="Y71" s="145">
        <f t="shared" si="87"/>
        <v>104.19999999999999</v>
      </c>
      <c r="Z71" s="155">
        <f>VLOOKUP(B71,Hist.Consum!$B$71:$V$147,11,FALSE)</f>
        <v>45924</v>
      </c>
      <c r="AA71" s="155"/>
      <c r="AB71" s="146">
        <f t="shared" si="79"/>
        <v>135.84</v>
      </c>
      <c r="AC71" s="146"/>
      <c r="AD71" s="146"/>
      <c r="AE71" s="146"/>
      <c r="AF71" s="4"/>
      <c r="AG71" s="147">
        <f>VLOOKUP(H71,Cad.RateioConsumo!$B$4:$Z$106,8,FALSE)</f>
        <v>0.15</v>
      </c>
    </row>
    <row r="72" spans="1:33" ht="14.25" customHeight="1">
      <c r="A72" s="4"/>
      <c r="B72" s="4" t="str">
        <f t="shared" si="50"/>
        <v>3.209/2025</v>
      </c>
      <c r="C72" s="4" t="str">
        <f t="shared" si="81"/>
        <v>Usina 308/2025</v>
      </c>
      <c r="D72" s="108">
        <f t="shared" si="82"/>
        <v>1</v>
      </c>
      <c r="E72" s="108">
        <f t="shared" si="83"/>
        <v>3</v>
      </c>
      <c r="F72" s="108" t="s">
        <v>57</v>
      </c>
      <c r="G72" s="56">
        <f>VLOOKUP(F72,Cad.Usinas!$A$4:$B$6,2,FALSE)</f>
        <v>3023637013</v>
      </c>
      <c r="H72" s="109" t="s">
        <v>75</v>
      </c>
      <c r="I72" s="33" t="str">
        <f>VLOOKUP(H72,Cad.RateioConsumo!$B$4:$Z$106,2,FALSE)</f>
        <v>Associação dos Moradores do Residencial Araçagy</v>
      </c>
      <c r="J72" s="140">
        <f>VLOOKUP(H72,Cad.RateioConsumo!$B$4:$Z$106,5,FALSE)</f>
        <v>3021149593</v>
      </c>
      <c r="K72" s="141" t="s">
        <v>124</v>
      </c>
      <c r="L72" s="141" t="s">
        <v>123</v>
      </c>
      <c r="M72" s="111">
        <f>VLOOKUP(H72,Cad.RateioConsumo!$B$4:$Z$106,7,FALSE)</f>
        <v>734.33333333333337</v>
      </c>
      <c r="N72" s="86">
        <f>VLOOKUP(H72,Cad.RateioConsumo!$B$4:$Z$106,11,FALSE)</f>
        <v>5.2499999999999998E-2</v>
      </c>
      <c r="O72" s="142">
        <f>IFERROR(ROUND(VLOOKUP(C72,Hist.Geração!$A$4:$F$64,4,FALSE)*N72,2)," ")</f>
        <v>857.27</v>
      </c>
      <c r="P72" s="157">
        <f>VLOOKUP(B72,Hist.Consum!$B$71:$V$147,12,FALSE)</f>
        <v>53.93</v>
      </c>
      <c r="Q72" s="145">
        <f>VLOOKUP(B72,Hist.Consum!$B$71:$V$147,15,FALSE())</f>
        <v>857.27</v>
      </c>
      <c r="R72" s="156">
        <f>VLOOKUP(B72,Hist.Consum!$B$71:$V$147,13,FALSE)</f>
        <v>1.0035229999999999</v>
      </c>
      <c r="S72" s="154">
        <f t="shared" si="84"/>
        <v>860.29</v>
      </c>
      <c r="T72" s="143" t="str">
        <f>VLOOKUP(K72,Hist.BT!$A$4:$C$27,3,FALSE)</f>
        <v>Vermelha 2</v>
      </c>
      <c r="U72" s="145">
        <f>ROUND(VLOOKUP(T72,Hist.BT!$G$3:$I$6,3,FALSE)*Q72,2)</f>
        <v>87.7</v>
      </c>
      <c r="V72" s="145">
        <f t="shared" si="85"/>
        <v>805.79</v>
      </c>
      <c r="W72" s="145">
        <f t="shared" si="56"/>
        <v>142.20000000000005</v>
      </c>
      <c r="X72" s="145">
        <f t="shared" si="86"/>
        <v>0</v>
      </c>
      <c r="Y72" s="145">
        <f t="shared" si="87"/>
        <v>0</v>
      </c>
      <c r="Z72" s="155">
        <f>VLOOKUP(B72,Hist.Consum!$B$71:$V$147,11,FALSE)</f>
        <v>45924</v>
      </c>
      <c r="AA72" s="155"/>
      <c r="AB72" s="146">
        <f t="shared" si="79"/>
        <v>857.27</v>
      </c>
      <c r="AC72" s="146"/>
      <c r="AD72" s="146"/>
      <c r="AE72" s="146"/>
      <c r="AF72" s="147">
        <f>Y72/M72</f>
        <v>0</v>
      </c>
      <c r="AG72" s="147">
        <f>VLOOKUP(H72,Cad.RateioConsumo!$B$4:$Z$106,8,FALSE)</f>
        <v>0.15</v>
      </c>
    </row>
    <row r="73" spans="1:33" ht="14.25" customHeight="1">
      <c r="A73" s="4"/>
      <c r="B73" s="4" t="str">
        <f t="shared" si="50"/>
        <v>3.309/2025</v>
      </c>
      <c r="C73" s="4" t="str">
        <f t="shared" si="81"/>
        <v>Usina 308/2025</v>
      </c>
      <c r="D73" s="108">
        <f t="shared" si="82"/>
        <v>1</v>
      </c>
      <c r="E73" s="108">
        <f t="shared" si="83"/>
        <v>2</v>
      </c>
      <c r="F73" s="108" t="s">
        <v>57</v>
      </c>
      <c r="G73" s="56">
        <f>VLOOKUP(F73,Cad.Usinas!$A$4:$B$6,2,FALSE)</f>
        <v>3023637013</v>
      </c>
      <c r="H73" s="109" t="s">
        <v>77</v>
      </c>
      <c r="I73" s="33" t="str">
        <f>VLOOKUP(H73,Cad.RateioConsumo!$B$4:$Z$106,2,FALSE)</f>
        <v>Associação dos Moradores do Residencial Araçagy</v>
      </c>
      <c r="J73" s="140">
        <f>VLOOKUP(H73,Cad.RateioConsumo!$B$4:$Z$106,5,FALSE)</f>
        <v>3021150559</v>
      </c>
      <c r="K73" s="141" t="s">
        <v>124</v>
      </c>
      <c r="L73" s="141" t="s">
        <v>123</v>
      </c>
      <c r="M73" s="158">
        <f>VLOOKUP(H73,Cad.RateioConsumo!$B$4:$Z$106,7,FALSE)</f>
        <v>2086.4545454545455</v>
      </c>
      <c r="N73" s="86">
        <v>0.14899999999999999</v>
      </c>
      <c r="O73" s="142">
        <f>IFERROR(ROUND(VLOOKUP(C73,Hist.Geração!$A$4:$F$64,4,FALSE)*N73,2)," ")</f>
        <v>2433.02</v>
      </c>
      <c r="P73" s="142">
        <f>VLOOKUP(B73,Hist.Consum!$B$71:$V$147,12,FALSE)</f>
        <v>100</v>
      </c>
      <c r="Q73" s="145">
        <f>VLOOKUP(B73,Hist.Consum!$B$71:$V$147,15,FALSE())</f>
        <v>1733.29</v>
      </c>
      <c r="R73" s="156">
        <f>VLOOKUP(B73,Hist.Consum!$B$71:$V$147,13,FALSE)</f>
        <v>1.0037</v>
      </c>
      <c r="S73" s="154">
        <f t="shared" si="84"/>
        <v>1739.7</v>
      </c>
      <c r="T73" s="143" t="str">
        <f>VLOOKUP(K73,Hist.BT!$A$4:$C$27,3,FALSE)</f>
        <v>Vermelha 2</v>
      </c>
      <c r="U73" s="145">
        <f>ROUND(VLOOKUP(T73,Hist.BT!$G$3:$I$6,3,FALSE)*Q73,2)</f>
        <v>177.31</v>
      </c>
      <c r="V73" s="145">
        <f t="shared" si="85"/>
        <v>1629.46</v>
      </c>
      <c r="W73" s="145">
        <f t="shared" si="56"/>
        <v>287.54999999999995</v>
      </c>
      <c r="X73" s="145">
        <f t="shared" si="86"/>
        <v>699.73</v>
      </c>
      <c r="Y73" s="145">
        <f t="shared" si="87"/>
        <v>699.73</v>
      </c>
      <c r="Z73" s="155">
        <f>VLOOKUP(B73,Hist.Consum!$B$71:$V$147,11,FALSE)</f>
        <v>45924</v>
      </c>
      <c r="AA73" s="155"/>
      <c r="AB73" s="146">
        <f t="shared" si="79"/>
        <v>1733.29</v>
      </c>
      <c r="AC73" s="146"/>
      <c r="AD73" s="146"/>
      <c r="AE73" s="146"/>
      <c r="AF73" s="147">
        <f>X73/Q73</f>
        <v>0.40370047712731283</v>
      </c>
      <c r="AG73" s="147">
        <f>VLOOKUP(H73,Cad.RateioConsumo!$B$4:$Z$106,8,FALSE)</f>
        <v>0.15</v>
      </c>
    </row>
    <row r="74" spans="1:33" ht="14.25" customHeight="1">
      <c r="A74" s="4"/>
      <c r="B74" s="4" t="str">
        <f t="shared" si="50"/>
        <v>3.409/2025</v>
      </c>
      <c r="C74" s="4" t="str">
        <f t="shared" si="81"/>
        <v>Usina 308/2025</v>
      </c>
      <c r="D74" s="108">
        <f t="shared" si="82"/>
        <v>1</v>
      </c>
      <c r="E74" s="108">
        <f t="shared" si="83"/>
        <v>1</v>
      </c>
      <c r="F74" s="108" t="s">
        <v>57</v>
      </c>
      <c r="G74" s="56">
        <f>VLOOKUP(F74,Cad.Usinas!$A$4:$B$6,2,FALSE)</f>
        <v>3023637013</v>
      </c>
      <c r="H74" s="109" t="s">
        <v>82</v>
      </c>
      <c r="I74" s="33" t="str">
        <f>VLOOKUP(H74,Cad.RateioConsumo!$B$4:$Z$106,2,FALSE)</f>
        <v>Antonio Jose Souza Filho</v>
      </c>
      <c r="J74" s="140">
        <f>VLOOKUP(H74,Cad.RateioConsumo!$B$4:$Z$106,5,FALSE)</f>
        <v>3007625048</v>
      </c>
      <c r="K74" s="141" t="s">
        <v>124</v>
      </c>
      <c r="L74" s="141" t="s">
        <v>123</v>
      </c>
      <c r="M74" s="111">
        <f>VLOOKUP(H74,Cad.RateioConsumo!$B$4:$Z$106,7,FALSE)</f>
        <v>417.15384615384613</v>
      </c>
      <c r="N74" s="86">
        <f>VLOOKUP(H74,Cad.RateioConsumo!$B$4:$Z$106,11,FALSE)</f>
        <v>2.98E-2</v>
      </c>
      <c r="O74" s="142">
        <f>IFERROR(ROUND(VLOOKUP(C74,Hist.Geração!$A$4:$F$64,4,FALSE)*N74,2)," ")</f>
        <v>486.6</v>
      </c>
      <c r="P74" s="142">
        <f>VLOOKUP(B74,Hist.Consum!$B$71:$V$147,12,FALSE)</f>
        <v>30</v>
      </c>
      <c r="Q74" s="145">
        <f>VLOOKUP(B74,Hist.Consum!$B$71:$V$147,15,FALSE())</f>
        <v>466</v>
      </c>
      <c r="R74" s="156">
        <f>VLOOKUP(B74,Hist.Consum!$B$71:$V$147,13,FALSE)</f>
        <v>1.0143329999999999</v>
      </c>
      <c r="S74" s="154">
        <f t="shared" si="84"/>
        <v>472.68</v>
      </c>
      <c r="T74" s="143" t="str">
        <f>VLOOKUP(K74,Hist.BT!$A$4:$C$27,3,FALSE)</f>
        <v>Vermelha 2</v>
      </c>
      <c r="U74" s="145">
        <f>ROUND(VLOOKUP(T74,Hist.BT!$G$3:$I$6,3,FALSE)*Q74,2)</f>
        <v>47.67</v>
      </c>
      <c r="V74" s="145">
        <f t="shared" si="85"/>
        <v>442.3</v>
      </c>
      <c r="W74" s="145">
        <f t="shared" si="56"/>
        <v>78.050000000000011</v>
      </c>
      <c r="X74" s="145">
        <f t="shared" si="86"/>
        <v>20.600000000000023</v>
      </c>
      <c r="Y74" s="145">
        <f t="shared" si="87"/>
        <v>20.600000000000023</v>
      </c>
      <c r="Z74" s="155">
        <f>VLOOKUP(B74,Hist.Consum!$B$71:$V$147,11,FALSE)</f>
        <v>45924</v>
      </c>
      <c r="AA74" s="155"/>
      <c r="AB74" s="146">
        <f t="shared" si="79"/>
        <v>466</v>
      </c>
      <c r="AC74" s="146"/>
      <c r="AD74" s="146"/>
      <c r="AE74" s="146"/>
      <c r="AF74" s="147">
        <f>Y74/M74</f>
        <v>4.9382260741287168E-2</v>
      </c>
      <c r="AG74" s="147">
        <f>VLOOKUP(H74,Cad.RateioConsumo!$B$4:$Z$106,8,FALSE)</f>
        <v>0.15</v>
      </c>
    </row>
    <row r="75" spans="1:33" ht="14.25" customHeight="1">
      <c r="A75" s="4"/>
      <c r="B75" s="4" t="str">
        <f t="shared" si="50"/>
        <v>3.009/2025</v>
      </c>
      <c r="C75" s="4" t="str">
        <f t="shared" si="81"/>
        <v>Usina 308/2025</v>
      </c>
      <c r="D75" s="108">
        <f t="shared" si="82"/>
        <v>0</v>
      </c>
      <c r="E75" s="108" t="str">
        <f t="shared" si="83"/>
        <v>N/A</v>
      </c>
      <c r="F75" s="108" t="s">
        <v>57</v>
      </c>
      <c r="G75" s="56">
        <f>VLOOKUP(F75,Cad.Usinas!$A$4:$B$6,2,FALSE)</f>
        <v>3023637013</v>
      </c>
      <c r="H75" s="109" t="s">
        <v>101</v>
      </c>
      <c r="I75" s="33" t="str">
        <f>VLOOKUP(H75,Cad.RateioConsumo!$B$4:$Z$106,2,FALSE)</f>
        <v>Usina 3</v>
      </c>
      <c r="J75" s="140">
        <f>VLOOKUP(H75,Cad.RateioConsumo!$B$4:$Z$106,5,FALSE)</f>
        <v>3023637013</v>
      </c>
      <c r="K75" s="141" t="s">
        <v>124</v>
      </c>
      <c r="L75" s="141" t="s">
        <v>123</v>
      </c>
      <c r="M75" s="111">
        <f>VLOOKUP(H75,Cad.RateioConsumo!$B$4:$Z$106,7,FALSE)</f>
        <v>8931.2331002331011</v>
      </c>
      <c r="N75" s="86">
        <f>100%-SUM(N71:N74)</f>
        <v>0.754</v>
      </c>
      <c r="O75" s="142">
        <f>IFERROR(ROUND(VLOOKUP(C75,Hist.Geração!$A$4:$F$64,4,FALSE)*N75,2)," ")</f>
        <v>12312.07</v>
      </c>
      <c r="P75" s="142">
        <f>VLOOKUP(H75,Hist.Consum!$E$79:$S$135,7,FALSE)</f>
        <v>0</v>
      </c>
      <c r="Q75" s="145">
        <f>VLOOKUP(H75,Hist.Consum!$E$79:$S$135,10,FALSE)</f>
        <v>0</v>
      </c>
      <c r="R75" s="159">
        <f>VLOOKUP(H75,Hist.Consum!$E$79:$S$135,8,FALSE)</f>
        <v>0</v>
      </c>
      <c r="S75" s="154">
        <f t="shared" si="84"/>
        <v>0</v>
      </c>
      <c r="T75" s="143" t="str">
        <f>VLOOKUP(K75,Hist.BT!$A$4:$C$27,3,FALSE)</f>
        <v>Vermelha 2</v>
      </c>
      <c r="U75" s="145">
        <f>ROUND(VLOOKUP(T75,Hist.BT!$G$3:$I$6,3,FALSE)*Q75,2)</f>
        <v>0</v>
      </c>
      <c r="V75" s="145">
        <f t="shared" si="85"/>
        <v>0</v>
      </c>
      <c r="W75" s="145">
        <f t="shared" si="56"/>
        <v>0</v>
      </c>
      <c r="X75" s="145">
        <f t="shared" si="86"/>
        <v>12312.07</v>
      </c>
      <c r="Y75" s="145">
        <f t="shared" si="87"/>
        <v>41435.07</v>
      </c>
      <c r="Z75" s="155">
        <f>VLOOKUP(B75,Hist.Consum!$B$71:$V$147,11,FALSE)</f>
        <v>0</v>
      </c>
      <c r="AA75" s="155"/>
      <c r="AB75" s="146">
        <f t="shared" si="79"/>
        <v>0</v>
      </c>
      <c r="AC75" s="146"/>
      <c r="AD75" s="146"/>
      <c r="AE75" s="146"/>
      <c r="AF75" s="4"/>
      <c r="AG75" s="147">
        <f>VLOOKUP(H75,Cad.RateioConsumo!$B$4:$Z$106,8,FALSE)</f>
        <v>0.15</v>
      </c>
    </row>
    <row r="76" spans="1:33" ht="14.25" customHeight="1">
      <c r="A76" s="4"/>
      <c r="B76" s="4" t="str">
        <f t="shared" si="50"/>
        <v/>
      </c>
      <c r="C76" s="4"/>
      <c r="D76" s="4"/>
      <c r="E76" s="4"/>
      <c r="F76" s="4"/>
      <c r="G76" s="4"/>
      <c r="H76" s="4"/>
      <c r="I76" s="4"/>
      <c r="J76" s="30"/>
      <c r="K76" s="30"/>
      <c r="L76" s="30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147" t="e">
        <f>VLOOKUP(H76,Cad.RateioConsumo!$B$4:$Z$106,8,FALSE)</f>
        <v>#N/A</v>
      </c>
    </row>
    <row r="77" spans="1:33" ht="14.25" customHeight="1">
      <c r="A77" s="4"/>
      <c r="B77" s="4" t="str">
        <f t="shared" si="50"/>
        <v>1.008/2025</v>
      </c>
      <c r="C77" s="4" t="str">
        <f t="shared" ref="C77:C79" si="88">F77&amp;L77</f>
        <v>Usina 108/2025</v>
      </c>
      <c r="D77" s="108">
        <f t="shared" ref="D77:D79" si="89">IF(J77=G77,0,1)</f>
        <v>0</v>
      </c>
      <c r="E77" s="108" t="str">
        <f t="shared" ref="E77:E79" si="90">IF(D77=0,"N/A",SUM($D77:D$83))</f>
        <v>N/A</v>
      </c>
      <c r="F77" s="108" t="s">
        <v>49</v>
      </c>
      <c r="G77" s="56">
        <f>VLOOKUP(F77,Cad.Usinas!$A$4:$B$6,2,FALSE)</f>
        <v>3023633492</v>
      </c>
      <c r="H77" s="109" t="s">
        <v>114</v>
      </c>
      <c r="I77" s="33" t="str">
        <f>VLOOKUP(H77,Cad.RateioConsumo!$B$4:$Z$106,2,FALSE)</f>
        <v>Usina 1</v>
      </c>
      <c r="J77" s="140">
        <f>VLOOKUP(H77,Cad.RateioConsumo!$B$4:$Z$106,5,FALSE)</f>
        <v>3023633492</v>
      </c>
      <c r="K77" s="141" t="s">
        <v>123</v>
      </c>
      <c r="L77" s="141" t="s">
        <v>123</v>
      </c>
      <c r="M77" s="111">
        <f>VLOOKUP(H77,Cad.RateioConsumo!$B$4:$Z$106,7,FALSE)</f>
        <v>14000</v>
      </c>
      <c r="N77" s="86">
        <f>VLOOKUP(H77,Cad.RateioConsumo!$B$4:$Z$106,11,FALSE)</f>
        <v>0.32010000000000005</v>
      </c>
      <c r="O77" s="142">
        <f>IFERROR(ROUND(VLOOKUP(C77,Hist.Geração!$A$4:$F$64,4,FALSE)*N77,2)," ")</f>
        <v>5312.7</v>
      </c>
      <c r="P77" s="143"/>
      <c r="Q77" s="143"/>
      <c r="R77" s="143"/>
      <c r="S77" s="143"/>
      <c r="T77" s="56" t="s">
        <v>172</v>
      </c>
      <c r="U77" s="143"/>
      <c r="V77" s="143">
        <f t="shared" ref="V77:V79" si="91">SUM(S77+U77)*(1-15%)</f>
        <v>0</v>
      </c>
      <c r="W77" s="143"/>
      <c r="X77" s="145">
        <f t="shared" ref="X77:X79" si="92">O77-Q77</f>
        <v>5312.7</v>
      </c>
      <c r="Y77" s="145">
        <f t="shared" ref="Y77:Y79" si="93">SUMIF($J77:J$84,J77,$X77:X$84)</f>
        <v>9348.52</v>
      </c>
      <c r="Z77" s="146"/>
      <c r="AA77" s="146"/>
      <c r="AB77" s="146"/>
      <c r="AC77" s="146"/>
      <c r="AD77" s="146"/>
      <c r="AE77" s="146"/>
      <c r="AF77" s="4"/>
      <c r="AG77" s="147">
        <f>VLOOKUP(H77,Cad.RateioConsumo!$B$4:$Z$106,8,FALSE)</f>
        <v>0.15</v>
      </c>
    </row>
    <row r="78" spans="1:33" ht="14.25" customHeight="1">
      <c r="A78" s="4"/>
      <c r="B78" s="4" t="str">
        <f t="shared" si="50"/>
        <v>2.008/2025</v>
      </c>
      <c r="C78" s="4" t="str">
        <f t="shared" si="88"/>
        <v>Usina 208/2025</v>
      </c>
      <c r="D78" s="108">
        <f t="shared" si="89"/>
        <v>0</v>
      </c>
      <c r="E78" s="108" t="str">
        <f t="shared" si="90"/>
        <v>N/A</v>
      </c>
      <c r="F78" s="108" t="s">
        <v>53</v>
      </c>
      <c r="G78" s="56">
        <f>VLOOKUP(F78,Cad.Usinas!$A$4:$B$6,2,FALSE)</f>
        <v>3023594470</v>
      </c>
      <c r="H78" s="109" t="s">
        <v>113</v>
      </c>
      <c r="I78" s="33" t="str">
        <f>VLOOKUP(H78,Cad.RateioConsumo!$B$4:$Z$106,2,FALSE)</f>
        <v>Usina 2</v>
      </c>
      <c r="J78" s="140">
        <f>VLOOKUP(H78,Cad.RateioConsumo!$B$4:$Z$106,5,FALSE)</f>
        <v>3023594470</v>
      </c>
      <c r="K78" s="141" t="s">
        <v>123</v>
      </c>
      <c r="L78" s="141" t="s">
        <v>123</v>
      </c>
      <c r="M78" s="111">
        <f>VLOOKUP(H78,Cad.RateioConsumo!$B$4:$Z$106,7,FALSE)</f>
        <v>14000</v>
      </c>
      <c r="N78" s="86">
        <f>VLOOKUP(H78,Cad.RateioConsumo!$B$4:$Z$106,11,FALSE)</f>
        <v>1</v>
      </c>
      <c r="O78" s="142">
        <f>IFERROR(ROUND(VLOOKUP(C78,Hist.Geração!$A$4:$F$64,4,FALSE)*N78,2)," ")</f>
        <v>16448</v>
      </c>
      <c r="P78" s="143"/>
      <c r="Q78" s="143"/>
      <c r="R78" s="143"/>
      <c r="S78" s="143"/>
      <c r="T78" s="56" t="s">
        <v>172</v>
      </c>
      <c r="U78" s="143"/>
      <c r="V78" s="143">
        <f t="shared" si="91"/>
        <v>0</v>
      </c>
      <c r="W78" s="143"/>
      <c r="X78" s="145">
        <f t="shared" si="92"/>
        <v>16448</v>
      </c>
      <c r="Y78" s="145">
        <f t="shared" si="93"/>
        <v>31568</v>
      </c>
      <c r="Z78" s="146"/>
      <c r="AA78" s="146"/>
      <c r="AB78" s="146"/>
      <c r="AC78" s="146"/>
      <c r="AD78" s="146"/>
      <c r="AE78" s="146"/>
      <c r="AF78" s="4"/>
      <c r="AG78" s="147">
        <f>VLOOKUP(H78,Cad.RateioConsumo!$B$4:$Z$106,8,FALSE)</f>
        <v>0.15</v>
      </c>
    </row>
    <row r="79" spans="1:33" ht="14.25" customHeight="1">
      <c r="A79" s="4"/>
      <c r="B79" s="4" t="str">
        <f t="shared" si="50"/>
        <v>3.008/2025</v>
      </c>
      <c r="C79" s="4" t="str">
        <f t="shared" si="88"/>
        <v>Usina 308/2025</v>
      </c>
      <c r="D79" s="108">
        <f t="shared" si="89"/>
        <v>0</v>
      </c>
      <c r="E79" s="108" t="str">
        <f t="shared" si="90"/>
        <v>N/A</v>
      </c>
      <c r="F79" s="108" t="s">
        <v>57</v>
      </c>
      <c r="G79" s="56">
        <f>VLOOKUP(F79,Cad.Usinas!$A$4:$B$6,2,FALSE)</f>
        <v>3023637013</v>
      </c>
      <c r="H79" s="109" t="s">
        <v>101</v>
      </c>
      <c r="I79" s="33" t="str">
        <f>VLOOKUP(H79,Cad.RateioConsumo!$B$4:$Z$106,2,FALSE)</f>
        <v>Usina 3</v>
      </c>
      <c r="J79" s="140">
        <f>VLOOKUP(H79,Cad.RateioConsumo!$B$4:$Z$106,5,FALSE)</f>
        <v>3023637013</v>
      </c>
      <c r="K79" s="141" t="s">
        <v>123</v>
      </c>
      <c r="L79" s="141" t="s">
        <v>123</v>
      </c>
      <c r="M79" s="111">
        <f>VLOOKUP(H79,Cad.RateioConsumo!$B$4:$Z$106,7,FALSE)</f>
        <v>8931.2331002331011</v>
      </c>
      <c r="N79" s="86">
        <v>1</v>
      </c>
      <c r="O79" s="142">
        <f>IFERROR(ROUND(VLOOKUP(C79,Hist.Geração!$A$4:$F$64,4,FALSE)*N79,2)," ")</f>
        <v>16329</v>
      </c>
      <c r="P79" s="142">
        <f>VLOOKUP(H79,Hist.Consum!$E$79:$S$135,7,FALSE)</f>
        <v>0</v>
      </c>
      <c r="Q79" s="156">
        <f>VLOOKUP(H79,Hist.Consum!$E$79:$S$135,10,FALSE)</f>
        <v>0</v>
      </c>
      <c r="R79" s="159">
        <f>VLOOKUP(H79,Hist.Consum!$E$79:$S$135,8,FALSE)</f>
        <v>0</v>
      </c>
      <c r="S79" s="143"/>
      <c r="T79" s="56" t="s">
        <v>172</v>
      </c>
      <c r="U79" s="143"/>
      <c r="V79" s="143">
        <f t="shared" si="91"/>
        <v>0</v>
      </c>
      <c r="W79" s="143"/>
      <c r="X79" s="145">
        <f t="shared" si="92"/>
        <v>16329</v>
      </c>
      <c r="Y79" s="145">
        <f t="shared" si="93"/>
        <v>29123</v>
      </c>
      <c r="Z79" s="146"/>
      <c r="AA79" s="146"/>
      <c r="AB79" s="146"/>
      <c r="AC79" s="146"/>
      <c r="AD79" s="146"/>
      <c r="AE79" s="146"/>
      <c r="AF79" s="4"/>
      <c r="AG79" s="147">
        <f>VLOOKUP(H79,Cad.RateioConsumo!$B$4:$Z$106,8,FALSE)</f>
        <v>0.15</v>
      </c>
    </row>
    <row r="80" spans="1:33" ht="14.25" customHeight="1">
      <c r="A80" s="4"/>
      <c r="B80" s="4" t="str">
        <f t="shared" si="50"/>
        <v/>
      </c>
      <c r="C80" s="4"/>
      <c r="D80" s="4"/>
      <c r="E80" s="4"/>
      <c r="F80" s="4"/>
      <c r="G80" s="4"/>
      <c r="H80" s="4"/>
      <c r="I80" s="4"/>
      <c r="J80" s="30"/>
      <c r="K80" s="30"/>
      <c r="L80" s="30"/>
      <c r="M80" s="4"/>
      <c r="N80" s="4"/>
      <c r="O80" s="160">
        <f>SUM(O71:O75)</f>
        <v>16329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147" t="e">
        <f>VLOOKUP(H80,Cad.RateioConsumo!$B$4:$Z$106,8,FALSE)</f>
        <v>#N/A</v>
      </c>
    </row>
    <row r="81" spans="1:33" ht="14.25" customHeight="1">
      <c r="A81" s="4"/>
      <c r="B81" s="4" t="str">
        <f t="shared" si="50"/>
        <v>1.007/2025</v>
      </c>
      <c r="C81" s="4" t="str">
        <f t="shared" ref="C81:C83" si="94">F81&amp;L81</f>
        <v>Usina 107/2025</v>
      </c>
      <c r="D81" s="108">
        <f t="shared" ref="D81:D83" si="95">IF(J81=G81,0,1)</f>
        <v>0</v>
      </c>
      <c r="E81" s="108" t="str">
        <f t="shared" ref="E81:E82" si="96">IF(D81=0,"N/A",SUM($D81:D$83))</f>
        <v>N/A</v>
      </c>
      <c r="F81" s="108" t="s">
        <v>49</v>
      </c>
      <c r="G81" s="56">
        <f>VLOOKUP(F81,Cad.Usinas!$A$4:$B$6,2,FALSE)</f>
        <v>3023633492</v>
      </c>
      <c r="H81" s="109" t="s">
        <v>114</v>
      </c>
      <c r="I81" s="33" t="str">
        <f>VLOOKUP(H81,Cad.RateioConsumo!$B$4:$Z$106,2,FALSE)</f>
        <v>Usina 1</v>
      </c>
      <c r="J81" s="140">
        <f>VLOOKUP(H81,Cad.RateioConsumo!$B$4:$Z$106,5,FALSE)</f>
        <v>3023633492</v>
      </c>
      <c r="K81" s="141" t="s">
        <v>122</v>
      </c>
      <c r="L81" s="141" t="s">
        <v>122</v>
      </c>
      <c r="M81" s="111">
        <f>VLOOKUP(H81,Cad.RateioConsumo!$B$4:$Z$106,7,FALSE)</f>
        <v>14000</v>
      </c>
      <c r="N81" s="86">
        <f>VLOOKUP(H81,Cad.RateioConsumo!$B$4:$Z$106,11,FALSE)</f>
        <v>0.32010000000000005</v>
      </c>
      <c r="O81" s="142">
        <f>IFERROR(ROUND(VLOOKUP(C81,Hist.Geração!$A$4:$F$64,4,FALSE)*N81,2)," ")</f>
        <v>4035.82</v>
      </c>
      <c r="P81" s="143"/>
      <c r="Q81" s="143"/>
      <c r="R81" s="143"/>
      <c r="S81" s="143"/>
      <c r="T81" s="56" t="s">
        <v>172</v>
      </c>
      <c r="U81" s="143"/>
      <c r="V81" s="143">
        <f t="shared" ref="V81:V83" si="97">SUM(S81+U81)*(1-15%)</f>
        <v>0</v>
      </c>
      <c r="W81" s="143"/>
      <c r="X81" s="145">
        <f t="shared" ref="X81:X83" si="98">O81-Q81</f>
        <v>4035.82</v>
      </c>
      <c r="Y81" s="145">
        <f t="shared" ref="Y81:Y83" si="99">SUMIF($J81:J$84,J81,$X81:X$84)</f>
        <v>4035.82</v>
      </c>
      <c r="Z81" s="146"/>
      <c r="AA81" s="146"/>
      <c r="AB81" s="146"/>
      <c r="AC81" s="146"/>
      <c r="AD81" s="146"/>
      <c r="AE81" s="146"/>
      <c r="AF81" s="4"/>
      <c r="AG81" s="147">
        <f>VLOOKUP(H81,Cad.RateioConsumo!$B$4:$Z$106,8,FALSE)</f>
        <v>0.15</v>
      </c>
    </row>
    <row r="82" spans="1:33" ht="14.25" customHeight="1">
      <c r="A82" s="4"/>
      <c r="B82" s="4" t="str">
        <f t="shared" si="50"/>
        <v>2.007/2025</v>
      </c>
      <c r="C82" s="4" t="str">
        <f t="shared" si="94"/>
        <v>Usina 207/2025</v>
      </c>
      <c r="D82" s="108">
        <f t="shared" si="95"/>
        <v>0</v>
      </c>
      <c r="E82" s="108" t="str">
        <f t="shared" si="96"/>
        <v>N/A</v>
      </c>
      <c r="F82" s="108" t="s">
        <v>53</v>
      </c>
      <c r="G82" s="56">
        <f>VLOOKUP(F82,Cad.Usinas!$A$4:$B$6,2,FALSE)</f>
        <v>3023594470</v>
      </c>
      <c r="H82" s="109" t="s">
        <v>113</v>
      </c>
      <c r="I82" s="33" t="str">
        <f>VLOOKUP(H82,Cad.RateioConsumo!$B$4:$Z$106,2,FALSE)</f>
        <v>Usina 2</v>
      </c>
      <c r="J82" s="140">
        <f>VLOOKUP(H82,Cad.RateioConsumo!$B$4:$Z$106,5,FALSE)</f>
        <v>3023594470</v>
      </c>
      <c r="K82" s="141" t="s">
        <v>122</v>
      </c>
      <c r="L82" s="141" t="s">
        <v>122</v>
      </c>
      <c r="M82" s="111">
        <f>VLOOKUP(H82,Cad.RateioConsumo!$B$4:$Z$106,7,FALSE)</f>
        <v>14000</v>
      </c>
      <c r="N82" s="86">
        <f>VLOOKUP(H82,Cad.RateioConsumo!$B$4:$Z$106,11,FALSE)</f>
        <v>1</v>
      </c>
      <c r="O82" s="142">
        <f>IFERROR(ROUND(VLOOKUP(C82,Hist.Geração!$A$4:$F$64,4,FALSE)*N82,2)," ")</f>
        <v>15120</v>
      </c>
      <c r="P82" s="143"/>
      <c r="Q82" s="143"/>
      <c r="R82" s="143"/>
      <c r="S82" s="143"/>
      <c r="T82" s="56" t="s">
        <v>172</v>
      </c>
      <c r="U82" s="143"/>
      <c r="V82" s="143">
        <f t="shared" si="97"/>
        <v>0</v>
      </c>
      <c r="W82" s="143"/>
      <c r="X82" s="145">
        <f t="shared" si="98"/>
        <v>15120</v>
      </c>
      <c r="Y82" s="145">
        <f t="shared" si="99"/>
        <v>15120</v>
      </c>
      <c r="Z82" s="146"/>
      <c r="AA82" s="146"/>
      <c r="AB82" s="146"/>
      <c r="AC82" s="146"/>
      <c r="AD82" s="146"/>
      <c r="AE82" s="146"/>
      <c r="AF82" s="4"/>
      <c r="AG82" s="147">
        <f>VLOOKUP(H82,Cad.RateioConsumo!$B$4:$Z$106,8,FALSE)</f>
        <v>0.15</v>
      </c>
    </row>
    <row r="83" spans="1:33" ht="14.25" customHeight="1">
      <c r="A83" s="4"/>
      <c r="B83" s="4" t="str">
        <f t="shared" si="50"/>
        <v>3.007/2025</v>
      </c>
      <c r="C83" s="4" t="str">
        <f t="shared" si="94"/>
        <v>Usina 307/2025</v>
      </c>
      <c r="D83" s="108">
        <f t="shared" si="95"/>
        <v>0</v>
      </c>
      <c r="E83" s="108" t="str">
        <f>IF(D83=0,"N/A",D83)</f>
        <v>N/A</v>
      </c>
      <c r="F83" s="108" t="s">
        <v>57</v>
      </c>
      <c r="G83" s="56">
        <f>VLOOKUP(F83,Cad.Usinas!$A$4:$B$6,2,FALSE)</f>
        <v>3023637013</v>
      </c>
      <c r="H83" s="109" t="s">
        <v>101</v>
      </c>
      <c r="I83" s="33" t="str">
        <f>VLOOKUP(H83,Cad.RateioConsumo!$B$4:$Z$106,2,FALSE)</f>
        <v>Usina 3</v>
      </c>
      <c r="J83" s="140">
        <f>VLOOKUP(H83,Cad.RateioConsumo!$B$4:$Z$106,5,FALSE)</f>
        <v>3023637013</v>
      </c>
      <c r="K83" s="141" t="s">
        <v>122</v>
      </c>
      <c r="L83" s="141" t="s">
        <v>122</v>
      </c>
      <c r="M83" s="111">
        <f>VLOOKUP(H83,Cad.RateioConsumo!$B$4:$Z$106,7,FALSE)</f>
        <v>8931.2331002331011</v>
      </c>
      <c r="N83" s="86">
        <v>1</v>
      </c>
      <c r="O83" s="142">
        <f>IFERROR(ROUND(VLOOKUP(C83,Hist.Geração!$A$4:$F$64,4,FALSE)*N83,2)," ")</f>
        <v>12794</v>
      </c>
      <c r="P83" s="142">
        <f>VLOOKUP(H83,Hist.Consum!$E$79:$S$135,7,FALSE)</f>
        <v>0</v>
      </c>
      <c r="Q83" s="156">
        <f>VLOOKUP(H83,Hist.Consum!$E$79:$S$135,10,FALSE)</f>
        <v>0</v>
      </c>
      <c r="R83" s="159">
        <f>VLOOKUP(H83,Hist.Consum!$E$79:$S$135,8,FALSE)</f>
        <v>0</v>
      </c>
      <c r="S83" s="143"/>
      <c r="T83" s="56" t="s">
        <v>172</v>
      </c>
      <c r="U83" s="143"/>
      <c r="V83" s="143">
        <f t="shared" si="97"/>
        <v>0</v>
      </c>
      <c r="W83" s="143"/>
      <c r="X83" s="145">
        <f t="shared" si="98"/>
        <v>12794</v>
      </c>
      <c r="Y83" s="145">
        <f t="shared" si="99"/>
        <v>12794</v>
      </c>
      <c r="Z83" s="146"/>
      <c r="AA83" s="146"/>
      <c r="AB83" s="146"/>
      <c r="AC83" s="146"/>
      <c r="AD83" s="146"/>
      <c r="AE83" s="146"/>
      <c r="AF83" s="4"/>
      <c r="AG83" s="147">
        <f>VLOOKUP(H83,Cad.RateioConsumo!$B$4:$Z$106,8,FALSE)</f>
        <v>0.15</v>
      </c>
    </row>
    <row r="84" spans="1:33" ht="14.25" customHeight="1">
      <c r="A84" s="4"/>
      <c r="B84" s="4" t="str">
        <f t="shared" si="50"/>
        <v/>
      </c>
      <c r="C84" s="4"/>
      <c r="D84" s="4"/>
      <c r="E84" s="4"/>
      <c r="F84" s="4"/>
      <c r="G84" s="4"/>
      <c r="H84" s="4"/>
      <c r="I84" s="4"/>
      <c r="J84" s="30"/>
      <c r="K84" s="30"/>
      <c r="L84" s="30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147" t="e">
        <f>VLOOKUP(H84,Cad.RateioConsumo!$B$4:$Z$106,8,FALSE)</f>
        <v>#N/A</v>
      </c>
    </row>
    <row r="85" spans="1:33" ht="14.25" customHeight="1">
      <c r="A85" s="4"/>
      <c r="B85" s="4"/>
      <c r="C85" s="4"/>
      <c r="D85" s="4"/>
      <c r="E85" s="4"/>
      <c r="F85" s="4"/>
      <c r="G85" s="4"/>
      <c r="H85" s="4"/>
      <c r="I85" s="4"/>
      <c r="J85" s="30"/>
      <c r="K85" s="30"/>
      <c r="L85" s="30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ht="14.25" customHeight="1">
      <c r="A86" s="4"/>
      <c r="B86" s="4"/>
      <c r="C86" s="4"/>
      <c r="D86" s="4"/>
      <c r="E86" s="4"/>
      <c r="F86" s="4"/>
      <c r="G86" s="4"/>
      <c r="H86" s="4"/>
      <c r="I86" s="4"/>
      <c r="J86" s="30"/>
      <c r="K86" s="30"/>
      <c r="L86" s="30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ht="14.25" customHeight="1">
      <c r="A87" s="4"/>
      <c r="B87" s="4"/>
      <c r="C87" s="4"/>
      <c r="D87" s="4"/>
      <c r="E87" s="4"/>
      <c r="F87" s="4"/>
      <c r="G87" s="4"/>
      <c r="H87" s="4"/>
      <c r="I87" s="4"/>
      <c r="J87" s="30"/>
      <c r="K87" s="30"/>
      <c r="L87" s="30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ht="14.25" customHeight="1">
      <c r="A88" s="4"/>
      <c r="B88" s="4"/>
      <c r="C88" s="4"/>
      <c r="D88" s="4"/>
      <c r="E88" s="4"/>
      <c r="F88" s="4"/>
      <c r="G88" s="4"/>
      <c r="H88" s="4"/>
      <c r="I88" s="4"/>
      <c r="J88" s="30"/>
      <c r="K88" s="30"/>
      <c r="L88" s="30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ht="14.25" customHeight="1">
      <c r="A89" s="4"/>
      <c r="B89" s="4"/>
      <c r="C89" s="4"/>
      <c r="D89" s="4"/>
      <c r="E89" s="4"/>
      <c r="F89" s="4"/>
      <c r="G89" s="4"/>
      <c r="H89" s="4"/>
      <c r="I89" s="4"/>
      <c r="J89" s="30"/>
      <c r="K89" s="30"/>
      <c r="L89" s="30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ht="14.25" customHeight="1">
      <c r="A90" s="4"/>
      <c r="B90" s="4"/>
      <c r="C90" s="4"/>
      <c r="D90" s="4"/>
      <c r="E90" s="4"/>
      <c r="F90" s="4"/>
      <c r="G90" s="4"/>
      <c r="H90" s="4"/>
      <c r="I90" s="4"/>
      <c r="J90" s="30"/>
      <c r="K90" s="30"/>
      <c r="L90" s="30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ht="14.25" customHeight="1">
      <c r="A91" s="4"/>
      <c r="B91" s="4"/>
      <c r="C91" s="4"/>
      <c r="D91" s="4"/>
      <c r="E91" s="4"/>
      <c r="F91" s="4"/>
      <c r="G91" s="4"/>
      <c r="H91" s="4"/>
      <c r="I91" s="4"/>
      <c r="J91" s="30"/>
      <c r="K91" s="30"/>
      <c r="L91" s="30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ht="14.25" customHeight="1">
      <c r="A92" s="4"/>
      <c r="B92" s="4"/>
      <c r="C92" s="4"/>
      <c r="D92" s="4"/>
      <c r="E92" s="4"/>
      <c r="F92" s="4"/>
      <c r="G92" s="4"/>
      <c r="H92" s="4"/>
      <c r="I92" s="4"/>
      <c r="J92" s="30"/>
      <c r="K92" s="30"/>
      <c r="L92" s="30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ht="14.25" customHeight="1">
      <c r="A93" s="4"/>
      <c r="B93" s="4"/>
      <c r="C93" s="4"/>
      <c r="D93" s="4"/>
      <c r="E93" s="4"/>
      <c r="F93" s="4"/>
      <c r="G93" s="4"/>
      <c r="H93" s="4"/>
      <c r="I93" s="4"/>
      <c r="J93" s="30"/>
      <c r="K93" s="30"/>
      <c r="L93" s="30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ht="14.25" customHeight="1">
      <c r="A94" s="4"/>
      <c r="B94" s="4"/>
      <c r="C94" s="4"/>
      <c r="D94" s="4"/>
      <c r="E94" s="4"/>
      <c r="F94" s="4"/>
      <c r="G94" s="4"/>
      <c r="H94" s="4"/>
      <c r="I94" s="4"/>
      <c r="J94" s="30"/>
      <c r="K94" s="30"/>
      <c r="L94" s="30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ht="14.25" customHeight="1">
      <c r="A95" s="4"/>
      <c r="B95" s="4"/>
      <c r="C95" s="4"/>
      <c r="D95" s="4"/>
      <c r="E95" s="4"/>
      <c r="F95" s="4"/>
      <c r="G95" s="4"/>
      <c r="H95" s="4"/>
      <c r="I95" s="4"/>
      <c r="J95" s="30"/>
      <c r="K95" s="30"/>
      <c r="L95" s="30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4.25" customHeight="1">
      <c r="A96" s="4"/>
      <c r="B96" s="4"/>
      <c r="C96" s="4"/>
      <c r="D96" s="4"/>
      <c r="E96" s="4"/>
      <c r="F96" s="4"/>
      <c r="G96" s="4"/>
      <c r="H96" s="4"/>
      <c r="I96" s="4"/>
      <c r="J96" s="30"/>
      <c r="K96" s="30"/>
      <c r="L96" s="30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ht="14.25" customHeight="1">
      <c r="A97" s="4"/>
      <c r="B97" s="4"/>
      <c r="C97" s="4"/>
      <c r="D97" s="4"/>
      <c r="E97" s="4"/>
      <c r="F97" s="4"/>
      <c r="G97" s="4"/>
      <c r="H97" s="4"/>
      <c r="I97" s="4"/>
      <c r="J97" s="30"/>
      <c r="K97" s="30"/>
      <c r="L97" s="30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ht="14.25" customHeight="1">
      <c r="A98" s="4"/>
      <c r="B98" s="4"/>
      <c r="C98" s="4"/>
      <c r="D98" s="4"/>
      <c r="E98" s="4"/>
      <c r="F98" s="4"/>
      <c r="G98" s="4"/>
      <c r="H98" s="4"/>
      <c r="I98" s="4"/>
      <c r="J98" s="30"/>
      <c r="K98" s="30"/>
      <c r="L98" s="30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ht="14.25" customHeight="1">
      <c r="A99" s="4"/>
      <c r="B99" s="4"/>
      <c r="C99" s="4"/>
      <c r="D99" s="4"/>
      <c r="E99" s="4"/>
      <c r="F99" s="4"/>
      <c r="G99" s="4"/>
      <c r="H99" s="4"/>
      <c r="I99" s="4"/>
      <c r="J99" s="30"/>
      <c r="K99" s="30"/>
      <c r="L99" s="30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30"/>
      <c r="K100" s="30"/>
      <c r="L100" s="30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30"/>
      <c r="K101" s="30"/>
      <c r="L101" s="30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30"/>
      <c r="K102" s="30"/>
      <c r="L102" s="30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30"/>
      <c r="K103" s="30"/>
      <c r="L103" s="30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30"/>
      <c r="K104" s="30"/>
      <c r="L104" s="30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30"/>
      <c r="K105" s="30"/>
      <c r="L105" s="30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30"/>
      <c r="K106" s="30"/>
      <c r="L106" s="30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30"/>
      <c r="K107" s="30"/>
      <c r="L107" s="30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30"/>
      <c r="K108" s="30"/>
      <c r="L108" s="30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30"/>
      <c r="K109" s="30"/>
      <c r="L109" s="30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30"/>
      <c r="K110" s="30"/>
      <c r="L110" s="30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30"/>
      <c r="K111" s="30"/>
      <c r="L111" s="30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30"/>
      <c r="K112" s="30"/>
      <c r="L112" s="30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30"/>
      <c r="K113" s="30"/>
      <c r="L113" s="30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30"/>
      <c r="K114" s="30"/>
      <c r="L114" s="30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30"/>
      <c r="K115" s="30"/>
      <c r="L115" s="30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30"/>
      <c r="K116" s="30"/>
      <c r="L116" s="3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30"/>
      <c r="K117" s="30"/>
      <c r="L117" s="3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30"/>
      <c r="K118" s="30"/>
      <c r="L118" s="3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30"/>
      <c r="K119" s="30"/>
      <c r="L119" s="30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30"/>
      <c r="K120" s="30"/>
      <c r="L120" s="30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30"/>
      <c r="K121" s="30"/>
      <c r="L121" s="30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30"/>
      <c r="K122" s="30"/>
      <c r="L122" s="30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30"/>
      <c r="K123" s="30"/>
      <c r="L123" s="30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30"/>
      <c r="K124" s="30"/>
      <c r="L124" s="30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30"/>
      <c r="K125" s="30"/>
      <c r="L125" s="30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30"/>
      <c r="K126" s="30"/>
      <c r="L126" s="30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30"/>
      <c r="K127" s="30"/>
      <c r="L127" s="30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30"/>
      <c r="K128" s="30"/>
      <c r="L128" s="30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30"/>
      <c r="K129" s="30"/>
      <c r="L129" s="30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30"/>
      <c r="K130" s="30"/>
      <c r="L130" s="30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30"/>
      <c r="K131" s="30"/>
      <c r="L131" s="30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30"/>
      <c r="K132" s="30"/>
      <c r="L132" s="30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30"/>
      <c r="K133" s="30"/>
      <c r="L133" s="30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30"/>
      <c r="K134" s="30"/>
      <c r="L134" s="30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30"/>
      <c r="K135" s="30"/>
      <c r="L135" s="30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30"/>
      <c r="K136" s="30"/>
      <c r="L136" s="30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30"/>
      <c r="K137" s="30"/>
      <c r="L137" s="30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30"/>
      <c r="K138" s="30"/>
      <c r="L138" s="30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30"/>
      <c r="K139" s="30"/>
      <c r="L139" s="30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30"/>
      <c r="K140" s="30"/>
      <c r="L140" s="30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30"/>
      <c r="K141" s="30"/>
      <c r="L141" s="30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30"/>
      <c r="K142" s="30"/>
      <c r="L142" s="30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30"/>
      <c r="K143" s="30"/>
      <c r="L143" s="30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30"/>
      <c r="K144" s="30"/>
      <c r="L144" s="30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30"/>
      <c r="K145" s="30"/>
      <c r="L145" s="30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30"/>
      <c r="K146" s="30"/>
      <c r="L146" s="30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30"/>
      <c r="K147" s="30"/>
      <c r="L147" s="30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30"/>
      <c r="K148" s="30"/>
      <c r="L148" s="30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30"/>
      <c r="K149" s="30"/>
      <c r="L149" s="30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30"/>
      <c r="K150" s="30"/>
      <c r="L150" s="30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30"/>
      <c r="K151" s="30"/>
      <c r="L151" s="30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30"/>
      <c r="K152" s="30"/>
      <c r="L152" s="30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30"/>
      <c r="K153" s="30"/>
      <c r="L153" s="30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30"/>
      <c r="K154" s="30"/>
      <c r="L154" s="30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30"/>
      <c r="K155" s="30"/>
      <c r="L155" s="30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30"/>
      <c r="K156" s="30"/>
      <c r="L156" s="30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30"/>
      <c r="K157" s="30"/>
      <c r="L157" s="30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30"/>
      <c r="K158" s="30"/>
      <c r="L158" s="30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30"/>
      <c r="K159" s="30"/>
      <c r="L159" s="30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30"/>
      <c r="K160" s="30"/>
      <c r="L160" s="30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30"/>
      <c r="K161" s="30"/>
      <c r="L161" s="30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30"/>
      <c r="K162" s="30"/>
      <c r="L162" s="30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30"/>
      <c r="K163" s="30"/>
      <c r="L163" s="30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30"/>
      <c r="K164" s="30"/>
      <c r="L164" s="30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30"/>
      <c r="K165" s="30"/>
      <c r="L165" s="30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30"/>
      <c r="K166" s="30"/>
      <c r="L166" s="30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30"/>
      <c r="K167" s="30"/>
      <c r="L167" s="30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30"/>
      <c r="K168" s="30"/>
      <c r="L168" s="30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30"/>
      <c r="K169" s="30"/>
      <c r="L169" s="30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30"/>
      <c r="K170" s="30"/>
      <c r="L170" s="30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30"/>
      <c r="K171" s="30"/>
      <c r="L171" s="30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30"/>
      <c r="K172" s="30"/>
      <c r="L172" s="30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30"/>
      <c r="K173" s="30"/>
      <c r="L173" s="30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30"/>
      <c r="K174" s="30"/>
      <c r="L174" s="30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30"/>
      <c r="K175" s="30"/>
      <c r="L175" s="30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30"/>
      <c r="K176" s="30"/>
      <c r="L176" s="30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30"/>
      <c r="K177" s="30"/>
      <c r="L177" s="30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30"/>
      <c r="K178" s="30"/>
      <c r="L178" s="30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30"/>
      <c r="K179" s="30"/>
      <c r="L179" s="30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30"/>
      <c r="K180" s="30"/>
      <c r="L180" s="30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30"/>
      <c r="K181" s="30"/>
      <c r="L181" s="30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30"/>
      <c r="K182" s="30"/>
      <c r="L182" s="30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30"/>
      <c r="K183" s="30"/>
      <c r="L183" s="30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30"/>
      <c r="K184" s="30"/>
      <c r="L184" s="30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30"/>
      <c r="K185" s="30"/>
      <c r="L185" s="30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30"/>
      <c r="K186" s="30"/>
      <c r="L186" s="30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30"/>
      <c r="K187" s="30"/>
      <c r="L187" s="30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30"/>
      <c r="K188" s="30"/>
      <c r="L188" s="30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30"/>
      <c r="K189" s="30"/>
      <c r="L189" s="30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30"/>
      <c r="K190" s="30"/>
      <c r="L190" s="30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30"/>
      <c r="K191" s="30"/>
      <c r="L191" s="30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30"/>
      <c r="K192" s="30"/>
      <c r="L192" s="30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30"/>
      <c r="K193" s="30"/>
      <c r="L193" s="30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30"/>
      <c r="K194" s="30"/>
      <c r="L194" s="30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30"/>
      <c r="K195" s="30"/>
      <c r="L195" s="30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30"/>
      <c r="K196" s="30"/>
      <c r="L196" s="30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30"/>
      <c r="K197" s="30"/>
      <c r="L197" s="30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30"/>
      <c r="K198" s="30"/>
      <c r="L198" s="30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30"/>
      <c r="K199" s="30"/>
      <c r="L199" s="30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30"/>
      <c r="K200" s="30"/>
      <c r="L200" s="30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30"/>
      <c r="K201" s="30"/>
      <c r="L201" s="30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30"/>
      <c r="K202" s="30"/>
      <c r="L202" s="30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30"/>
      <c r="K203" s="30"/>
      <c r="L203" s="30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30"/>
      <c r="K204" s="30"/>
      <c r="L204" s="30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30"/>
      <c r="K205" s="30"/>
      <c r="L205" s="30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30"/>
      <c r="K206" s="30"/>
      <c r="L206" s="30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30"/>
      <c r="K207" s="30"/>
      <c r="L207" s="30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30"/>
      <c r="K208" s="30"/>
      <c r="L208" s="30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30"/>
      <c r="K209" s="30"/>
      <c r="L209" s="30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30"/>
      <c r="K210" s="30"/>
      <c r="L210" s="30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30"/>
      <c r="K211" s="30"/>
      <c r="L211" s="30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30"/>
      <c r="K212" s="30"/>
      <c r="L212" s="30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30"/>
      <c r="K213" s="30"/>
      <c r="L213" s="30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30"/>
      <c r="K214" s="30"/>
      <c r="L214" s="30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30"/>
      <c r="K215" s="30"/>
      <c r="L215" s="30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30"/>
      <c r="K216" s="30"/>
      <c r="L216" s="30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30"/>
      <c r="K217" s="30"/>
      <c r="L217" s="30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30"/>
      <c r="K218" s="30"/>
      <c r="L218" s="30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30"/>
      <c r="K219" s="30"/>
      <c r="L219" s="30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30"/>
      <c r="K220" s="30"/>
      <c r="L220" s="30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30"/>
      <c r="K221" s="30"/>
      <c r="L221" s="30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30"/>
      <c r="K222" s="30"/>
      <c r="L222" s="30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30"/>
      <c r="K223" s="30"/>
      <c r="L223" s="30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30"/>
      <c r="K224" s="30"/>
      <c r="L224" s="30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30"/>
      <c r="K225" s="30"/>
      <c r="L225" s="30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30"/>
      <c r="K226" s="30"/>
      <c r="L226" s="30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30"/>
      <c r="K227" s="30"/>
      <c r="L227" s="30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30"/>
      <c r="K228" s="30"/>
      <c r="L228" s="30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30"/>
      <c r="K229" s="30"/>
      <c r="L229" s="30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30"/>
      <c r="K230" s="30"/>
      <c r="L230" s="30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30"/>
      <c r="K231" s="30"/>
      <c r="L231" s="30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30"/>
      <c r="K232" s="30"/>
      <c r="L232" s="30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30"/>
      <c r="K233" s="30"/>
      <c r="L233" s="30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30"/>
      <c r="K234" s="30"/>
      <c r="L234" s="30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30"/>
      <c r="K235" s="30"/>
      <c r="L235" s="30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30"/>
      <c r="K236" s="30"/>
      <c r="L236" s="30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30"/>
      <c r="K237" s="30"/>
      <c r="L237" s="30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30"/>
      <c r="K238" s="30"/>
      <c r="L238" s="30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30"/>
      <c r="K239" s="30"/>
      <c r="L239" s="30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30"/>
      <c r="K240" s="30"/>
      <c r="L240" s="30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30"/>
      <c r="K241" s="30"/>
      <c r="L241" s="30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30"/>
      <c r="K242" s="30"/>
      <c r="L242" s="30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30"/>
      <c r="K243" s="30"/>
      <c r="L243" s="30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30"/>
      <c r="K244" s="30"/>
      <c r="L244" s="30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30"/>
      <c r="K245" s="30"/>
      <c r="L245" s="30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30"/>
      <c r="K246" s="30"/>
      <c r="L246" s="30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30"/>
      <c r="K247" s="30"/>
      <c r="L247" s="30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30"/>
      <c r="K248" s="30"/>
      <c r="L248" s="30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30"/>
      <c r="K249" s="30"/>
      <c r="L249" s="30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30"/>
      <c r="K250" s="30"/>
      <c r="L250" s="30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30"/>
      <c r="K251" s="30"/>
      <c r="L251" s="30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30"/>
      <c r="K252" s="30"/>
      <c r="L252" s="30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30"/>
      <c r="K253" s="30"/>
      <c r="L253" s="30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30"/>
      <c r="K254" s="30"/>
      <c r="L254" s="30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30"/>
      <c r="K255" s="30"/>
      <c r="L255" s="30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30"/>
      <c r="K256" s="30"/>
      <c r="L256" s="30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30"/>
      <c r="K257" s="30"/>
      <c r="L257" s="30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30"/>
      <c r="K258" s="30"/>
      <c r="L258" s="30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30"/>
      <c r="K259" s="30"/>
      <c r="L259" s="30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30"/>
      <c r="K260" s="30"/>
      <c r="L260" s="30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30"/>
      <c r="K261" s="30"/>
      <c r="L261" s="30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30"/>
      <c r="K262" s="30"/>
      <c r="L262" s="30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30"/>
      <c r="K263" s="30"/>
      <c r="L263" s="30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30"/>
      <c r="K264" s="30"/>
      <c r="L264" s="30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30"/>
      <c r="K265" s="30"/>
      <c r="L265" s="30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30"/>
      <c r="K266" s="30"/>
      <c r="L266" s="30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30"/>
      <c r="K267" s="30"/>
      <c r="L267" s="30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30"/>
      <c r="K268" s="30"/>
      <c r="L268" s="30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30"/>
      <c r="K269" s="30"/>
      <c r="L269" s="30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30"/>
      <c r="K270" s="30"/>
      <c r="L270" s="30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30"/>
      <c r="K271" s="30"/>
      <c r="L271" s="30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30"/>
      <c r="K272" s="30"/>
      <c r="L272" s="30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30"/>
      <c r="K273" s="30"/>
      <c r="L273" s="30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30"/>
      <c r="K274" s="30"/>
      <c r="L274" s="30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30"/>
      <c r="K275" s="30"/>
      <c r="L275" s="30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30"/>
      <c r="K276" s="30"/>
      <c r="L276" s="30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30"/>
      <c r="K277" s="30"/>
      <c r="L277" s="30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30"/>
      <c r="K278" s="30"/>
      <c r="L278" s="30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30"/>
      <c r="K279" s="30"/>
      <c r="L279" s="30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30"/>
      <c r="K280" s="30"/>
      <c r="L280" s="30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30"/>
      <c r="K281" s="30"/>
      <c r="L281" s="30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30"/>
      <c r="K282" s="30"/>
      <c r="L282" s="30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30"/>
      <c r="K283" s="30"/>
      <c r="L283" s="30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30"/>
      <c r="K284" s="30"/>
      <c r="L284" s="30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30"/>
      <c r="K285" s="30"/>
      <c r="L285" s="30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30"/>
      <c r="K286" s="30"/>
      <c r="L286" s="30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30"/>
      <c r="K287" s="30"/>
      <c r="L287" s="30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30"/>
      <c r="K288" s="30"/>
      <c r="L288" s="30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30"/>
      <c r="K289" s="30"/>
      <c r="L289" s="30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30"/>
      <c r="K290" s="30"/>
      <c r="L290" s="30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30"/>
      <c r="K291" s="30"/>
      <c r="L291" s="30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30"/>
      <c r="K292" s="30"/>
      <c r="L292" s="30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30"/>
      <c r="K293" s="30"/>
      <c r="L293" s="30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30"/>
      <c r="K294" s="30"/>
      <c r="L294" s="30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30"/>
      <c r="K295" s="30"/>
      <c r="L295" s="30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30"/>
      <c r="K296" s="30"/>
      <c r="L296" s="30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30"/>
      <c r="K297" s="30"/>
      <c r="L297" s="30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30"/>
      <c r="K298" s="30"/>
      <c r="L298" s="30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30"/>
      <c r="K299" s="30"/>
      <c r="L299" s="30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30"/>
      <c r="K300" s="30"/>
      <c r="L300" s="30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30"/>
      <c r="K301" s="30"/>
      <c r="L301" s="30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30"/>
      <c r="K302" s="30"/>
      <c r="L302" s="30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30"/>
      <c r="K303" s="30"/>
      <c r="L303" s="30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30"/>
      <c r="K304" s="30"/>
      <c r="L304" s="30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30"/>
      <c r="K305" s="30"/>
      <c r="L305" s="30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30"/>
      <c r="K306" s="30"/>
      <c r="L306" s="30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30"/>
      <c r="K307" s="30"/>
      <c r="L307" s="30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30"/>
      <c r="K308" s="30"/>
      <c r="L308" s="30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30"/>
      <c r="K309" s="30"/>
      <c r="L309" s="30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30"/>
      <c r="K310" s="30"/>
      <c r="L310" s="30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30"/>
      <c r="K311" s="30"/>
      <c r="L311" s="30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30"/>
      <c r="K312" s="30"/>
      <c r="L312" s="30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30"/>
      <c r="K313" s="30"/>
      <c r="L313" s="30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30"/>
      <c r="K314" s="30"/>
      <c r="L314" s="30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30"/>
      <c r="K315" s="30"/>
      <c r="L315" s="30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30"/>
      <c r="K316" s="30"/>
      <c r="L316" s="30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30"/>
      <c r="K317" s="30"/>
      <c r="L317" s="30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30"/>
      <c r="K318" s="30"/>
      <c r="L318" s="30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30"/>
      <c r="K319" s="30"/>
      <c r="L319" s="30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30"/>
      <c r="K320" s="30"/>
      <c r="L320" s="30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30"/>
      <c r="K321" s="30"/>
      <c r="L321" s="30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30"/>
      <c r="K322" s="30"/>
      <c r="L322" s="30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30"/>
      <c r="K323" s="30"/>
      <c r="L323" s="30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30"/>
      <c r="K324" s="30"/>
      <c r="L324" s="30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30"/>
      <c r="K325" s="30"/>
      <c r="L325" s="30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30"/>
      <c r="K326" s="30"/>
      <c r="L326" s="30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30"/>
      <c r="K327" s="30"/>
      <c r="L327" s="30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30"/>
      <c r="K328" s="30"/>
      <c r="L328" s="30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30"/>
      <c r="K329" s="30"/>
      <c r="L329" s="30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30"/>
      <c r="K330" s="30"/>
      <c r="L330" s="30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30"/>
      <c r="K331" s="30"/>
      <c r="L331" s="30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30"/>
      <c r="K332" s="30"/>
      <c r="L332" s="30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30"/>
      <c r="K333" s="30"/>
      <c r="L333" s="30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30"/>
      <c r="K334" s="30"/>
      <c r="L334" s="30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30"/>
      <c r="K335" s="30"/>
      <c r="L335" s="30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30"/>
      <c r="K336" s="30"/>
      <c r="L336" s="30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30"/>
      <c r="K337" s="30"/>
      <c r="L337" s="30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30"/>
      <c r="K338" s="30"/>
      <c r="L338" s="30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30"/>
      <c r="K339" s="30"/>
      <c r="L339" s="30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30"/>
      <c r="K340" s="30"/>
      <c r="L340" s="30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30"/>
      <c r="K341" s="30"/>
      <c r="L341" s="30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30"/>
      <c r="K342" s="30"/>
      <c r="L342" s="30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30"/>
      <c r="K343" s="30"/>
      <c r="L343" s="30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30"/>
      <c r="K344" s="30"/>
      <c r="L344" s="30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30"/>
      <c r="K345" s="30"/>
      <c r="L345" s="30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30"/>
      <c r="K346" s="30"/>
      <c r="L346" s="30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30"/>
      <c r="K347" s="30"/>
      <c r="L347" s="30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30"/>
      <c r="K348" s="30"/>
      <c r="L348" s="30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30"/>
      <c r="K349" s="30"/>
      <c r="L349" s="30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30"/>
      <c r="K350" s="30"/>
      <c r="L350" s="30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30"/>
      <c r="K351" s="30"/>
      <c r="L351" s="30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30"/>
      <c r="K352" s="30"/>
      <c r="L352" s="30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30"/>
      <c r="K353" s="30"/>
      <c r="L353" s="30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30"/>
      <c r="K354" s="30"/>
      <c r="L354" s="30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30"/>
      <c r="K355" s="30"/>
      <c r="L355" s="30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30"/>
      <c r="K356" s="30"/>
      <c r="L356" s="30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30"/>
      <c r="K357" s="30"/>
      <c r="L357" s="30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30"/>
      <c r="K358" s="30"/>
      <c r="L358" s="30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30"/>
      <c r="K359" s="30"/>
      <c r="L359" s="30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30"/>
      <c r="K360" s="30"/>
      <c r="L360" s="30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30"/>
      <c r="K361" s="30"/>
      <c r="L361" s="30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30"/>
      <c r="K362" s="30"/>
      <c r="L362" s="30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30"/>
      <c r="K363" s="30"/>
      <c r="L363" s="30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30"/>
      <c r="K364" s="30"/>
      <c r="L364" s="30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30"/>
      <c r="K365" s="30"/>
      <c r="L365" s="30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30"/>
      <c r="K366" s="30"/>
      <c r="L366" s="30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30"/>
      <c r="K367" s="30"/>
      <c r="L367" s="30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30"/>
      <c r="K368" s="30"/>
      <c r="L368" s="30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30"/>
      <c r="K369" s="30"/>
      <c r="L369" s="30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30"/>
      <c r="K370" s="30"/>
      <c r="L370" s="30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30"/>
      <c r="K371" s="30"/>
      <c r="L371" s="30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30"/>
      <c r="K372" s="30"/>
      <c r="L372" s="30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30"/>
      <c r="K373" s="30"/>
      <c r="L373" s="30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30"/>
      <c r="K374" s="30"/>
      <c r="L374" s="30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30"/>
      <c r="K375" s="30"/>
      <c r="L375" s="30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30"/>
      <c r="K376" s="30"/>
      <c r="L376" s="30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30"/>
      <c r="K377" s="30"/>
      <c r="L377" s="30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30"/>
      <c r="K378" s="30"/>
      <c r="L378" s="30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30"/>
      <c r="K379" s="30"/>
      <c r="L379" s="30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30"/>
      <c r="K380" s="30"/>
      <c r="L380" s="30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30"/>
      <c r="K381" s="30"/>
      <c r="L381" s="30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30"/>
      <c r="K382" s="30"/>
      <c r="L382" s="30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30"/>
      <c r="K383" s="30"/>
      <c r="L383" s="30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30"/>
      <c r="K384" s="30"/>
      <c r="L384" s="30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30"/>
      <c r="K385" s="30"/>
      <c r="L385" s="30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30"/>
      <c r="K386" s="30"/>
      <c r="L386" s="30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30"/>
      <c r="K387" s="30"/>
      <c r="L387" s="30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30"/>
      <c r="K388" s="30"/>
      <c r="L388" s="30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30"/>
      <c r="K389" s="30"/>
      <c r="L389" s="30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30"/>
      <c r="K390" s="30"/>
      <c r="L390" s="30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30"/>
      <c r="K391" s="30"/>
      <c r="L391" s="30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30"/>
      <c r="K392" s="30"/>
      <c r="L392" s="30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30"/>
      <c r="K393" s="30"/>
      <c r="L393" s="30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30"/>
      <c r="K394" s="30"/>
      <c r="L394" s="30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30"/>
      <c r="K395" s="30"/>
      <c r="L395" s="30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30"/>
      <c r="K396" s="30"/>
      <c r="L396" s="30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30"/>
      <c r="K397" s="30"/>
      <c r="L397" s="30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30"/>
      <c r="K398" s="30"/>
      <c r="L398" s="30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30"/>
      <c r="K399" s="30"/>
      <c r="L399" s="30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30"/>
      <c r="K400" s="30"/>
      <c r="L400" s="30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30"/>
      <c r="K401" s="30"/>
      <c r="L401" s="30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30"/>
      <c r="K402" s="30"/>
      <c r="L402" s="30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30"/>
      <c r="K403" s="30"/>
      <c r="L403" s="30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30"/>
      <c r="K404" s="30"/>
      <c r="L404" s="30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30"/>
      <c r="K405" s="30"/>
      <c r="L405" s="30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30"/>
      <c r="K406" s="30"/>
      <c r="L406" s="30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30"/>
      <c r="K407" s="30"/>
      <c r="L407" s="30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30"/>
      <c r="K408" s="30"/>
      <c r="L408" s="30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30"/>
      <c r="K409" s="30"/>
      <c r="L409" s="30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30"/>
      <c r="K410" s="30"/>
      <c r="L410" s="30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30"/>
      <c r="K411" s="30"/>
      <c r="L411" s="30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30"/>
      <c r="K412" s="30"/>
      <c r="L412" s="30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30"/>
      <c r="K413" s="30"/>
      <c r="L413" s="30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30"/>
      <c r="K414" s="30"/>
      <c r="L414" s="30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30"/>
      <c r="K415" s="30"/>
      <c r="L415" s="30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30"/>
      <c r="K416" s="30"/>
      <c r="L416" s="30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30"/>
      <c r="K417" s="30"/>
      <c r="L417" s="30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30"/>
      <c r="K418" s="30"/>
      <c r="L418" s="30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30"/>
      <c r="K419" s="30"/>
      <c r="L419" s="30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30"/>
      <c r="K420" s="30"/>
      <c r="L420" s="30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30"/>
      <c r="K421" s="30"/>
      <c r="L421" s="30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30"/>
      <c r="K422" s="30"/>
      <c r="L422" s="30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30"/>
      <c r="K423" s="30"/>
      <c r="L423" s="30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30"/>
      <c r="K424" s="30"/>
      <c r="L424" s="30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30"/>
      <c r="K425" s="30"/>
      <c r="L425" s="30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30"/>
      <c r="K426" s="30"/>
      <c r="L426" s="30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30"/>
      <c r="K427" s="30"/>
      <c r="L427" s="30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30"/>
      <c r="K428" s="30"/>
      <c r="L428" s="30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30"/>
      <c r="K429" s="30"/>
      <c r="L429" s="30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30"/>
      <c r="K430" s="30"/>
      <c r="L430" s="30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30"/>
      <c r="K431" s="30"/>
      <c r="L431" s="30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30"/>
      <c r="K432" s="30"/>
      <c r="L432" s="30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30"/>
      <c r="K433" s="30"/>
      <c r="L433" s="30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30"/>
      <c r="K434" s="30"/>
      <c r="L434" s="30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30"/>
      <c r="K435" s="30"/>
      <c r="L435" s="30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30"/>
      <c r="K436" s="30"/>
      <c r="L436" s="30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30"/>
      <c r="K437" s="30"/>
      <c r="L437" s="30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30"/>
      <c r="K438" s="30"/>
      <c r="L438" s="30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30"/>
      <c r="K439" s="30"/>
      <c r="L439" s="30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30"/>
      <c r="K440" s="30"/>
      <c r="L440" s="30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30"/>
      <c r="K441" s="30"/>
      <c r="L441" s="30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30"/>
      <c r="K442" s="30"/>
      <c r="L442" s="30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30"/>
      <c r="K443" s="30"/>
      <c r="L443" s="30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30"/>
      <c r="K444" s="30"/>
      <c r="L444" s="30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30"/>
      <c r="K445" s="30"/>
      <c r="L445" s="30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30"/>
      <c r="K446" s="30"/>
      <c r="L446" s="30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30"/>
      <c r="K447" s="30"/>
      <c r="L447" s="30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30"/>
      <c r="K448" s="30"/>
      <c r="L448" s="30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30"/>
      <c r="K449" s="30"/>
      <c r="L449" s="30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30"/>
      <c r="K450" s="30"/>
      <c r="L450" s="30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30"/>
      <c r="K451" s="30"/>
      <c r="L451" s="30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30"/>
      <c r="K452" s="30"/>
      <c r="L452" s="30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30"/>
      <c r="K453" s="30"/>
      <c r="L453" s="30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30"/>
      <c r="K454" s="30"/>
      <c r="L454" s="30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30"/>
      <c r="K455" s="30"/>
      <c r="L455" s="30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30"/>
      <c r="K456" s="30"/>
      <c r="L456" s="30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30"/>
      <c r="K457" s="30"/>
      <c r="L457" s="30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30"/>
      <c r="K458" s="30"/>
      <c r="L458" s="30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30"/>
      <c r="K459" s="30"/>
      <c r="L459" s="30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30"/>
      <c r="K460" s="30"/>
      <c r="L460" s="30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30"/>
      <c r="K461" s="30"/>
      <c r="L461" s="30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30"/>
      <c r="K462" s="30"/>
      <c r="L462" s="30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30"/>
      <c r="K463" s="30"/>
      <c r="L463" s="30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30"/>
      <c r="K464" s="30"/>
      <c r="L464" s="30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30"/>
      <c r="K465" s="30"/>
      <c r="L465" s="30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30"/>
      <c r="K466" s="30"/>
      <c r="L466" s="30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30"/>
      <c r="K467" s="30"/>
      <c r="L467" s="30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30"/>
      <c r="K468" s="30"/>
      <c r="L468" s="30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30"/>
      <c r="K469" s="30"/>
      <c r="L469" s="30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30"/>
      <c r="K470" s="30"/>
      <c r="L470" s="30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30"/>
      <c r="K471" s="30"/>
      <c r="L471" s="30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30"/>
      <c r="K472" s="30"/>
      <c r="L472" s="30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30"/>
      <c r="K473" s="30"/>
      <c r="L473" s="30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30"/>
      <c r="K474" s="30"/>
      <c r="L474" s="30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30"/>
      <c r="K475" s="30"/>
      <c r="L475" s="30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30"/>
      <c r="K476" s="30"/>
      <c r="L476" s="30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30"/>
      <c r="K477" s="30"/>
      <c r="L477" s="30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30"/>
      <c r="K478" s="30"/>
      <c r="L478" s="30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30"/>
      <c r="K479" s="30"/>
      <c r="L479" s="30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30"/>
      <c r="K480" s="30"/>
      <c r="L480" s="30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30"/>
      <c r="K481" s="30"/>
      <c r="L481" s="30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30"/>
      <c r="K482" s="30"/>
      <c r="L482" s="30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30"/>
      <c r="K483" s="30"/>
      <c r="L483" s="30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30"/>
      <c r="K484" s="30"/>
      <c r="L484" s="30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30"/>
      <c r="K485" s="30"/>
      <c r="L485" s="30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30"/>
      <c r="K486" s="30"/>
      <c r="L486" s="30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30"/>
      <c r="K487" s="30"/>
      <c r="L487" s="30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30"/>
      <c r="K488" s="30"/>
      <c r="L488" s="30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30"/>
      <c r="K489" s="30"/>
      <c r="L489" s="30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30"/>
      <c r="K490" s="30"/>
      <c r="L490" s="30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30"/>
      <c r="K491" s="30"/>
      <c r="L491" s="30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30"/>
      <c r="K492" s="30"/>
      <c r="L492" s="30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30"/>
      <c r="K493" s="30"/>
      <c r="L493" s="30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30"/>
      <c r="K494" s="30"/>
      <c r="L494" s="30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30"/>
      <c r="K495" s="30"/>
      <c r="L495" s="30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30"/>
      <c r="K496" s="30"/>
      <c r="L496" s="30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30"/>
      <c r="K497" s="30"/>
      <c r="L497" s="30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30"/>
      <c r="K498" s="30"/>
      <c r="L498" s="30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30"/>
      <c r="K499" s="30"/>
      <c r="L499" s="30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30"/>
      <c r="K500" s="30"/>
      <c r="L500" s="30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30"/>
      <c r="K501" s="30"/>
      <c r="L501" s="30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30"/>
      <c r="K502" s="30"/>
      <c r="L502" s="30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30"/>
      <c r="K503" s="30"/>
      <c r="L503" s="30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30"/>
      <c r="K504" s="30"/>
      <c r="L504" s="30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30"/>
      <c r="K505" s="30"/>
      <c r="L505" s="30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30"/>
      <c r="K506" s="30"/>
      <c r="L506" s="30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30"/>
      <c r="K507" s="30"/>
      <c r="L507" s="30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30"/>
      <c r="K508" s="30"/>
      <c r="L508" s="30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30"/>
      <c r="K509" s="30"/>
      <c r="L509" s="30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30"/>
      <c r="K510" s="30"/>
      <c r="L510" s="30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30"/>
      <c r="K511" s="30"/>
      <c r="L511" s="30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30"/>
      <c r="K512" s="30"/>
      <c r="L512" s="30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30"/>
      <c r="K513" s="30"/>
      <c r="L513" s="30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30"/>
      <c r="K514" s="30"/>
      <c r="L514" s="30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30"/>
      <c r="K515" s="30"/>
      <c r="L515" s="30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30"/>
      <c r="K516" s="30"/>
      <c r="L516" s="30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30"/>
      <c r="K517" s="30"/>
      <c r="L517" s="30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30"/>
      <c r="K518" s="30"/>
      <c r="L518" s="30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30"/>
      <c r="K519" s="30"/>
      <c r="L519" s="30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30"/>
      <c r="K520" s="30"/>
      <c r="L520" s="30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30"/>
      <c r="K521" s="30"/>
      <c r="L521" s="30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30"/>
      <c r="K522" s="30"/>
      <c r="L522" s="30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30"/>
      <c r="K523" s="30"/>
      <c r="L523" s="30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30"/>
      <c r="K524" s="30"/>
      <c r="L524" s="30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30"/>
      <c r="K525" s="30"/>
      <c r="L525" s="30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30"/>
      <c r="K526" s="30"/>
      <c r="L526" s="30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30"/>
      <c r="K527" s="30"/>
      <c r="L527" s="30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30"/>
      <c r="K528" s="30"/>
      <c r="L528" s="30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30"/>
      <c r="K529" s="30"/>
      <c r="L529" s="30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30"/>
      <c r="K530" s="30"/>
      <c r="L530" s="30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30"/>
      <c r="K531" s="30"/>
      <c r="L531" s="30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30"/>
      <c r="K532" s="30"/>
      <c r="L532" s="30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30"/>
      <c r="K533" s="30"/>
      <c r="L533" s="30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30"/>
      <c r="K534" s="30"/>
      <c r="L534" s="30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30"/>
      <c r="K535" s="30"/>
      <c r="L535" s="30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30"/>
      <c r="K536" s="30"/>
      <c r="L536" s="30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30"/>
      <c r="K537" s="30"/>
      <c r="L537" s="30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30"/>
      <c r="K538" s="30"/>
      <c r="L538" s="30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30"/>
      <c r="K539" s="30"/>
      <c r="L539" s="30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30"/>
      <c r="K540" s="30"/>
      <c r="L540" s="30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30"/>
      <c r="K541" s="30"/>
      <c r="L541" s="30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30"/>
      <c r="K542" s="30"/>
      <c r="L542" s="30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30"/>
      <c r="K543" s="30"/>
      <c r="L543" s="30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30"/>
      <c r="K544" s="30"/>
      <c r="L544" s="30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30"/>
      <c r="K545" s="30"/>
      <c r="L545" s="30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30"/>
      <c r="K546" s="30"/>
      <c r="L546" s="30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30"/>
      <c r="K547" s="30"/>
      <c r="L547" s="30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30"/>
      <c r="K548" s="30"/>
      <c r="L548" s="30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30"/>
      <c r="K549" s="30"/>
      <c r="L549" s="30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30"/>
      <c r="K550" s="30"/>
      <c r="L550" s="30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30"/>
      <c r="K551" s="30"/>
      <c r="L551" s="30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30"/>
      <c r="K552" s="30"/>
      <c r="L552" s="30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30"/>
      <c r="K553" s="30"/>
      <c r="L553" s="30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30"/>
      <c r="K554" s="30"/>
      <c r="L554" s="30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30"/>
      <c r="K555" s="30"/>
      <c r="L555" s="30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30"/>
      <c r="K556" s="30"/>
      <c r="L556" s="30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30"/>
      <c r="K557" s="30"/>
      <c r="L557" s="30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30"/>
      <c r="K558" s="30"/>
      <c r="L558" s="30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30"/>
      <c r="K559" s="30"/>
      <c r="L559" s="30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30"/>
      <c r="K560" s="30"/>
      <c r="L560" s="30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30"/>
      <c r="K561" s="30"/>
      <c r="L561" s="30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30"/>
      <c r="K562" s="30"/>
      <c r="L562" s="30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30"/>
      <c r="K563" s="30"/>
      <c r="L563" s="30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30"/>
      <c r="K564" s="30"/>
      <c r="L564" s="30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30"/>
      <c r="K565" s="30"/>
      <c r="L565" s="30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30"/>
      <c r="K566" s="30"/>
      <c r="L566" s="30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30"/>
      <c r="K567" s="30"/>
      <c r="L567" s="30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30"/>
      <c r="K568" s="30"/>
      <c r="L568" s="30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30"/>
      <c r="K569" s="30"/>
      <c r="L569" s="30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30"/>
      <c r="K570" s="30"/>
      <c r="L570" s="30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30"/>
      <c r="K571" s="30"/>
      <c r="L571" s="30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30"/>
      <c r="K572" s="30"/>
      <c r="L572" s="30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30"/>
      <c r="K573" s="30"/>
      <c r="L573" s="30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30"/>
      <c r="K574" s="30"/>
      <c r="L574" s="30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30"/>
      <c r="K575" s="30"/>
      <c r="L575" s="30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30"/>
      <c r="K576" s="30"/>
      <c r="L576" s="30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30"/>
      <c r="K577" s="30"/>
      <c r="L577" s="30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30"/>
      <c r="K578" s="30"/>
      <c r="L578" s="30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30"/>
      <c r="K579" s="30"/>
      <c r="L579" s="30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30"/>
      <c r="K580" s="30"/>
      <c r="L580" s="30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30"/>
      <c r="K581" s="30"/>
      <c r="L581" s="30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30"/>
      <c r="K582" s="30"/>
      <c r="L582" s="30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30"/>
      <c r="K583" s="30"/>
      <c r="L583" s="30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30"/>
      <c r="K584" s="30"/>
      <c r="L584" s="30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30"/>
      <c r="K585" s="30"/>
      <c r="L585" s="30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30"/>
      <c r="K586" s="30"/>
      <c r="L586" s="30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30"/>
      <c r="K587" s="30"/>
      <c r="L587" s="30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30"/>
      <c r="K588" s="30"/>
      <c r="L588" s="30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30"/>
      <c r="K589" s="30"/>
      <c r="L589" s="30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30"/>
      <c r="K590" s="30"/>
      <c r="L590" s="30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30"/>
      <c r="K591" s="30"/>
      <c r="L591" s="30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30"/>
      <c r="K592" s="30"/>
      <c r="L592" s="30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30"/>
      <c r="K593" s="30"/>
      <c r="L593" s="30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30"/>
      <c r="K594" s="30"/>
      <c r="L594" s="30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30"/>
      <c r="K595" s="30"/>
      <c r="L595" s="30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30"/>
      <c r="K596" s="30"/>
      <c r="L596" s="30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30"/>
      <c r="K597" s="30"/>
      <c r="L597" s="30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30"/>
      <c r="K598" s="30"/>
      <c r="L598" s="30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30"/>
      <c r="K599" s="30"/>
      <c r="L599" s="30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30"/>
      <c r="K600" s="30"/>
      <c r="L600" s="30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30"/>
      <c r="K601" s="30"/>
      <c r="L601" s="30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30"/>
      <c r="K602" s="30"/>
      <c r="L602" s="30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30"/>
      <c r="K603" s="30"/>
      <c r="L603" s="30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30"/>
      <c r="K604" s="30"/>
      <c r="L604" s="30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30"/>
      <c r="K605" s="30"/>
      <c r="L605" s="30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30"/>
      <c r="K606" s="30"/>
      <c r="L606" s="30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30"/>
      <c r="K607" s="30"/>
      <c r="L607" s="30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30"/>
      <c r="K608" s="30"/>
      <c r="L608" s="30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30"/>
      <c r="K609" s="30"/>
      <c r="L609" s="30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30"/>
      <c r="K610" s="30"/>
      <c r="L610" s="30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30"/>
      <c r="K611" s="30"/>
      <c r="L611" s="30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30"/>
      <c r="K612" s="30"/>
      <c r="L612" s="30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30"/>
      <c r="K613" s="30"/>
      <c r="L613" s="30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30"/>
      <c r="K614" s="30"/>
      <c r="L614" s="30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30"/>
      <c r="K615" s="30"/>
      <c r="L615" s="30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30"/>
      <c r="K616" s="30"/>
      <c r="L616" s="30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30"/>
      <c r="K617" s="30"/>
      <c r="L617" s="30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30"/>
      <c r="K618" s="30"/>
      <c r="L618" s="30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30"/>
      <c r="K619" s="30"/>
      <c r="L619" s="30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30"/>
      <c r="K620" s="30"/>
      <c r="L620" s="30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30"/>
      <c r="K621" s="30"/>
      <c r="L621" s="30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30"/>
      <c r="K622" s="30"/>
      <c r="L622" s="30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30"/>
      <c r="K623" s="30"/>
      <c r="L623" s="30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30"/>
      <c r="K624" s="30"/>
      <c r="L624" s="30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30"/>
      <c r="K625" s="30"/>
      <c r="L625" s="30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30"/>
      <c r="K626" s="30"/>
      <c r="L626" s="30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30"/>
      <c r="K627" s="30"/>
      <c r="L627" s="30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30"/>
      <c r="K628" s="30"/>
      <c r="L628" s="30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30"/>
      <c r="K629" s="30"/>
      <c r="L629" s="30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30"/>
      <c r="K630" s="30"/>
      <c r="L630" s="30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30"/>
      <c r="K631" s="30"/>
      <c r="L631" s="30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30"/>
      <c r="K632" s="30"/>
      <c r="L632" s="30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30"/>
      <c r="K633" s="30"/>
      <c r="L633" s="30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30"/>
      <c r="K634" s="30"/>
      <c r="L634" s="30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30"/>
      <c r="K635" s="30"/>
      <c r="L635" s="30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30"/>
      <c r="K636" s="30"/>
      <c r="L636" s="30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30"/>
      <c r="K637" s="30"/>
      <c r="L637" s="30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30"/>
      <c r="K638" s="30"/>
      <c r="L638" s="30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30"/>
      <c r="K639" s="30"/>
      <c r="L639" s="30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30"/>
      <c r="K640" s="30"/>
      <c r="L640" s="30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30"/>
      <c r="K641" s="30"/>
      <c r="L641" s="30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30"/>
      <c r="K642" s="30"/>
      <c r="L642" s="30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30"/>
      <c r="K643" s="30"/>
      <c r="L643" s="30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30"/>
      <c r="K644" s="30"/>
      <c r="L644" s="30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30"/>
      <c r="K645" s="30"/>
      <c r="L645" s="30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30"/>
      <c r="K646" s="30"/>
      <c r="L646" s="30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30"/>
      <c r="K647" s="30"/>
      <c r="L647" s="30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30"/>
      <c r="K648" s="30"/>
      <c r="L648" s="30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30"/>
      <c r="K649" s="30"/>
      <c r="L649" s="30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30"/>
      <c r="K650" s="30"/>
      <c r="L650" s="30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30"/>
      <c r="K651" s="30"/>
      <c r="L651" s="30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30"/>
      <c r="K652" s="30"/>
      <c r="L652" s="30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30"/>
      <c r="K653" s="30"/>
      <c r="L653" s="30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30"/>
      <c r="K654" s="30"/>
      <c r="L654" s="30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30"/>
      <c r="K655" s="30"/>
      <c r="L655" s="30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30"/>
      <c r="K656" s="30"/>
      <c r="L656" s="30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30"/>
      <c r="K657" s="30"/>
      <c r="L657" s="30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30"/>
      <c r="K658" s="30"/>
      <c r="L658" s="30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30"/>
      <c r="K659" s="30"/>
      <c r="L659" s="30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30"/>
      <c r="K660" s="30"/>
      <c r="L660" s="30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30"/>
      <c r="K661" s="30"/>
      <c r="L661" s="30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30"/>
      <c r="K662" s="30"/>
      <c r="L662" s="30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30"/>
      <c r="K663" s="30"/>
      <c r="L663" s="30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30"/>
      <c r="K664" s="30"/>
      <c r="L664" s="30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30"/>
      <c r="K665" s="30"/>
      <c r="L665" s="30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30"/>
      <c r="K666" s="30"/>
      <c r="L666" s="30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30"/>
      <c r="K667" s="30"/>
      <c r="L667" s="30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30"/>
      <c r="K668" s="30"/>
      <c r="L668" s="30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30"/>
      <c r="K669" s="30"/>
      <c r="L669" s="30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30"/>
      <c r="K670" s="30"/>
      <c r="L670" s="30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30"/>
      <c r="K671" s="30"/>
      <c r="L671" s="30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30"/>
      <c r="K672" s="30"/>
      <c r="L672" s="30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30"/>
      <c r="K673" s="30"/>
      <c r="L673" s="30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30"/>
      <c r="K674" s="30"/>
      <c r="L674" s="30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30"/>
      <c r="K675" s="30"/>
      <c r="L675" s="30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30"/>
      <c r="K676" s="30"/>
      <c r="L676" s="30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30"/>
      <c r="K677" s="30"/>
      <c r="L677" s="30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30"/>
      <c r="K678" s="30"/>
      <c r="L678" s="30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30"/>
      <c r="K679" s="30"/>
      <c r="L679" s="30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30"/>
      <c r="K680" s="30"/>
      <c r="L680" s="30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30"/>
      <c r="K681" s="30"/>
      <c r="L681" s="30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30"/>
      <c r="K682" s="30"/>
      <c r="L682" s="30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30"/>
      <c r="K683" s="30"/>
      <c r="L683" s="30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30"/>
      <c r="K684" s="30"/>
      <c r="L684" s="30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30"/>
      <c r="K685" s="30"/>
      <c r="L685" s="30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30"/>
      <c r="K686" s="30"/>
      <c r="L686" s="30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30"/>
      <c r="K687" s="30"/>
      <c r="L687" s="30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30"/>
      <c r="K688" s="30"/>
      <c r="L688" s="30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30"/>
      <c r="K689" s="30"/>
      <c r="L689" s="30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30"/>
      <c r="K690" s="30"/>
      <c r="L690" s="30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30"/>
      <c r="K691" s="30"/>
      <c r="L691" s="30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30"/>
      <c r="K692" s="30"/>
      <c r="L692" s="30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30"/>
      <c r="K693" s="30"/>
      <c r="L693" s="30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30"/>
      <c r="K694" s="30"/>
      <c r="L694" s="30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30"/>
      <c r="K695" s="30"/>
      <c r="L695" s="30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30"/>
      <c r="K696" s="30"/>
      <c r="L696" s="30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30"/>
      <c r="K697" s="30"/>
      <c r="L697" s="30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30"/>
      <c r="K698" s="30"/>
      <c r="L698" s="30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30"/>
      <c r="K699" s="30"/>
      <c r="L699" s="30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30"/>
      <c r="K700" s="30"/>
      <c r="L700" s="30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30"/>
      <c r="K701" s="30"/>
      <c r="L701" s="30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30"/>
      <c r="K702" s="30"/>
      <c r="L702" s="30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30"/>
      <c r="K703" s="30"/>
      <c r="L703" s="30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30"/>
      <c r="K704" s="30"/>
      <c r="L704" s="30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30"/>
      <c r="K705" s="30"/>
      <c r="L705" s="30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30"/>
      <c r="K706" s="30"/>
      <c r="L706" s="30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30"/>
      <c r="K707" s="30"/>
      <c r="L707" s="30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30"/>
      <c r="K708" s="30"/>
      <c r="L708" s="30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30"/>
      <c r="K709" s="30"/>
      <c r="L709" s="30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30"/>
      <c r="K710" s="30"/>
      <c r="L710" s="30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30"/>
      <c r="K711" s="30"/>
      <c r="L711" s="30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30"/>
      <c r="K712" s="30"/>
      <c r="L712" s="30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30"/>
      <c r="K713" s="30"/>
      <c r="L713" s="30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30"/>
      <c r="K714" s="30"/>
      <c r="L714" s="30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30"/>
      <c r="K715" s="30"/>
      <c r="L715" s="30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30"/>
      <c r="K716" s="30"/>
      <c r="L716" s="30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30"/>
      <c r="K717" s="30"/>
      <c r="L717" s="30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30"/>
      <c r="K718" s="30"/>
      <c r="L718" s="30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30"/>
      <c r="K719" s="30"/>
      <c r="L719" s="30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30"/>
      <c r="K720" s="30"/>
      <c r="L720" s="30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30"/>
      <c r="K721" s="30"/>
      <c r="L721" s="30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30"/>
      <c r="K722" s="30"/>
      <c r="L722" s="30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30"/>
      <c r="K723" s="30"/>
      <c r="L723" s="30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30"/>
      <c r="K724" s="30"/>
      <c r="L724" s="30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30"/>
      <c r="K725" s="30"/>
      <c r="L725" s="30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30"/>
      <c r="K726" s="30"/>
      <c r="L726" s="30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30"/>
      <c r="K727" s="30"/>
      <c r="L727" s="30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30"/>
      <c r="K728" s="30"/>
      <c r="L728" s="30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30"/>
      <c r="K729" s="30"/>
      <c r="L729" s="30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30"/>
      <c r="K730" s="30"/>
      <c r="L730" s="30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30"/>
      <c r="K731" s="30"/>
      <c r="L731" s="30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30"/>
      <c r="K732" s="30"/>
      <c r="L732" s="30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30"/>
      <c r="K733" s="30"/>
      <c r="L733" s="30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30"/>
      <c r="K734" s="30"/>
      <c r="L734" s="30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30"/>
      <c r="K735" s="30"/>
      <c r="L735" s="30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30"/>
      <c r="K736" s="30"/>
      <c r="L736" s="30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30"/>
      <c r="K737" s="30"/>
      <c r="L737" s="30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30"/>
      <c r="K738" s="30"/>
      <c r="L738" s="30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30"/>
      <c r="K739" s="30"/>
      <c r="L739" s="30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30"/>
      <c r="K740" s="30"/>
      <c r="L740" s="30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30"/>
      <c r="K741" s="30"/>
      <c r="L741" s="30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30"/>
      <c r="K742" s="30"/>
      <c r="L742" s="30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30"/>
      <c r="K743" s="30"/>
      <c r="L743" s="30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30"/>
      <c r="K744" s="30"/>
      <c r="L744" s="30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30"/>
      <c r="K745" s="30"/>
      <c r="L745" s="30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30"/>
      <c r="K746" s="30"/>
      <c r="L746" s="30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30"/>
      <c r="K747" s="30"/>
      <c r="L747" s="30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30"/>
      <c r="K748" s="30"/>
      <c r="L748" s="30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30"/>
      <c r="K749" s="30"/>
      <c r="L749" s="30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30"/>
      <c r="K750" s="30"/>
      <c r="L750" s="30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30"/>
      <c r="K751" s="30"/>
      <c r="L751" s="30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30"/>
      <c r="K752" s="30"/>
      <c r="L752" s="30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30"/>
      <c r="K753" s="30"/>
      <c r="L753" s="30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30"/>
      <c r="K754" s="30"/>
      <c r="L754" s="30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30"/>
      <c r="K755" s="30"/>
      <c r="L755" s="30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30"/>
      <c r="K756" s="30"/>
      <c r="L756" s="30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30"/>
      <c r="K757" s="30"/>
      <c r="L757" s="30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30"/>
      <c r="K758" s="30"/>
      <c r="L758" s="30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30"/>
      <c r="K759" s="30"/>
      <c r="L759" s="30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30"/>
      <c r="K760" s="30"/>
      <c r="L760" s="30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30"/>
      <c r="K761" s="30"/>
      <c r="L761" s="30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30"/>
      <c r="K762" s="30"/>
      <c r="L762" s="30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30"/>
      <c r="K763" s="30"/>
      <c r="L763" s="30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30"/>
      <c r="K764" s="30"/>
      <c r="L764" s="30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30"/>
      <c r="K765" s="30"/>
      <c r="L765" s="30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30"/>
      <c r="K766" s="30"/>
      <c r="L766" s="30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30"/>
      <c r="K767" s="30"/>
      <c r="L767" s="30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30"/>
      <c r="K768" s="30"/>
      <c r="L768" s="30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30"/>
      <c r="K769" s="30"/>
      <c r="L769" s="30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30"/>
      <c r="K770" s="30"/>
      <c r="L770" s="30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30"/>
      <c r="K771" s="30"/>
      <c r="L771" s="30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30"/>
      <c r="K772" s="30"/>
      <c r="L772" s="30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30"/>
      <c r="K773" s="30"/>
      <c r="L773" s="30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30"/>
      <c r="K774" s="30"/>
      <c r="L774" s="30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30"/>
      <c r="K775" s="30"/>
      <c r="L775" s="30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30"/>
      <c r="K776" s="30"/>
      <c r="L776" s="30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30"/>
      <c r="K777" s="30"/>
      <c r="L777" s="30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30"/>
      <c r="K778" s="30"/>
      <c r="L778" s="30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30"/>
      <c r="K779" s="30"/>
      <c r="L779" s="30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30"/>
      <c r="K780" s="30"/>
      <c r="L780" s="30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30"/>
      <c r="K781" s="30"/>
      <c r="L781" s="30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30"/>
      <c r="K782" s="30"/>
      <c r="L782" s="30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30"/>
      <c r="K783" s="30"/>
      <c r="L783" s="30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30"/>
      <c r="K784" s="30"/>
      <c r="L784" s="30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30"/>
      <c r="K785" s="30"/>
      <c r="L785" s="30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30"/>
      <c r="K786" s="30"/>
      <c r="L786" s="30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30"/>
      <c r="K787" s="30"/>
      <c r="L787" s="30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30"/>
      <c r="K788" s="30"/>
      <c r="L788" s="30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30"/>
      <c r="K789" s="30"/>
      <c r="L789" s="30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30"/>
      <c r="K790" s="30"/>
      <c r="L790" s="30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30"/>
      <c r="K791" s="30"/>
      <c r="L791" s="30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30"/>
      <c r="K792" s="30"/>
      <c r="L792" s="30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30"/>
      <c r="K793" s="30"/>
      <c r="L793" s="30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30"/>
      <c r="K794" s="30"/>
      <c r="L794" s="30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30"/>
      <c r="K795" s="30"/>
      <c r="L795" s="30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30"/>
      <c r="K796" s="30"/>
      <c r="L796" s="30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30"/>
      <c r="K797" s="30"/>
      <c r="L797" s="30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30"/>
      <c r="K798" s="30"/>
      <c r="L798" s="30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30"/>
      <c r="K799" s="30"/>
      <c r="L799" s="30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30"/>
      <c r="K800" s="30"/>
      <c r="L800" s="30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30"/>
      <c r="K801" s="30"/>
      <c r="L801" s="30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30"/>
      <c r="K802" s="30"/>
      <c r="L802" s="30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30"/>
      <c r="K803" s="30"/>
      <c r="L803" s="30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30"/>
      <c r="K804" s="30"/>
      <c r="L804" s="30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30"/>
      <c r="K805" s="30"/>
      <c r="L805" s="30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30"/>
      <c r="K806" s="30"/>
      <c r="L806" s="30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30"/>
      <c r="K807" s="30"/>
      <c r="L807" s="30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30"/>
      <c r="K808" s="30"/>
      <c r="L808" s="30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30"/>
      <c r="K809" s="30"/>
      <c r="L809" s="30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30"/>
      <c r="K810" s="30"/>
      <c r="L810" s="30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30"/>
      <c r="K811" s="30"/>
      <c r="L811" s="30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30"/>
      <c r="K812" s="30"/>
      <c r="L812" s="30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30"/>
      <c r="K813" s="30"/>
      <c r="L813" s="30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30"/>
      <c r="K814" s="30"/>
      <c r="L814" s="30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30"/>
      <c r="K815" s="30"/>
      <c r="L815" s="30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30"/>
      <c r="K816" s="30"/>
      <c r="L816" s="30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30"/>
      <c r="K817" s="30"/>
      <c r="L817" s="30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30"/>
      <c r="K818" s="30"/>
      <c r="L818" s="30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30"/>
      <c r="K819" s="30"/>
      <c r="L819" s="30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30"/>
      <c r="K820" s="30"/>
      <c r="L820" s="30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30"/>
      <c r="K821" s="30"/>
      <c r="L821" s="30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30"/>
      <c r="K822" s="30"/>
      <c r="L822" s="30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30"/>
      <c r="K823" s="30"/>
      <c r="L823" s="30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30"/>
      <c r="K824" s="30"/>
      <c r="L824" s="30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30"/>
      <c r="K825" s="30"/>
      <c r="L825" s="30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30"/>
      <c r="K826" s="30"/>
      <c r="L826" s="30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30"/>
      <c r="K827" s="30"/>
      <c r="L827" s="30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30"/>
      <c r="K828" s="30"/>
      <c r="L828" s="30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30"/>
      <c r="K829" s="30"/>
      <c r="L829" s="30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30"/>
      <c r="K830" s="30"/>
      <c r="L830" s="30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30"/>
      <c r="K831" s="30"/>
      <c r="L831" s="30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30"/>
      <c r="K832" s="30"/>
      <c r="L832" s="30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30"/>
      <c r="K833" s="30"/>
      <c r="L833" s="30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30"/>
      <c r="K834" s="30"/>
      <c r="L834" s="30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30"/>
      <c r="K835" s="30"/>
      <c r="L835" s="30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30"/>
      <c r="K836" s="30"/>
      <c r="L836" s="30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30"/>
      <c r="K837" s="30"/>
      <c r="L837" s="30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30"/>
      <c r="K838" s="30"/>
      <c r="L838" s="30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30"/>
      <c r="K839" s="30"/>
      <c r="L839" s="30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30"/>
      <c r="K840" s="30"/>
      <c r="L840" s="30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30"/>
      <c r="K841" s="30"/>
      <c r="L841" s="30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30"/>
      <c r="K842" s="30"/>
      <c r="L842" s="30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30"/>
      <c r="K843" s="30"/>
      <c r="L843" s="30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30"/>
      <c r="K844" s="30"/>
      <c r="L844" s="30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30"/>
      <c r="K845" s="30"/>
      <c r="L845" s="30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30"/>
      <c r="K846" s="30"/>
      <c r="L846" s="30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30"/>
      <c r="K847" s="30"/>
      <c r="L847" s="30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30"/>
      <c r="K848" s="30"/>
      <c r="L848" s="30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30"/>
      <c r="K849" s="30"/>
      <c r="L849" s="30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30"/>
      <c r="K850" s="30"/>
      <c r="L850" s="30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30"/>
      <c r="K851" s="30"/>
      <c r="L851" s="30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30"/>
      <c r="K852" s="30"/>
      <c r="L852" s="30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30"/>
      <c r="K853" s="30"/>
      <c r="L853" s="30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30"/>
      <c r="K854" s="30"/>
      <c r="L854" s="30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30"/>
      <c r="K855" s="30"/>
      <c r="L855" s="30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30"/>
      <c r="K856" s="30"/>
      <c r="L856" s="30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30"/>
      <c r="K857" s="30"/>
      <c r="L857" s="30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30"/>
      <c r="K858" s="30"/>
      <c r="L858" s="30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30"/>
      <c r="K859" s="30"/>
      <c r="L859" s="30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30"/>
      <c r="K860" s="30"/>
      <c r="L860" s="30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30"/>
      <c r="K861" s="30"/>
      <c r="L861" s="30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30"/>
      <c r="K862" s="30"/>
      <c r="L862" s="30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30"/>
      <c r="K863" s="30"/>
      <c r="L863" s="30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30"/>
      <c r="K864" s="30"/>
      <c r="L864" s="30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30"/>
      <c r="K865" s="30"/>
      <c r="L865" s="30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30"/>
      <c r="K866" s="30"/>
      <c r="L866" s="30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30"/>
      <c r="K867" s="30"/>
      <c r="L867" s="30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30"/>
      <c r="K868" s="30"/>
      <c r="L868" s="30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30"/>
      <c r="K869" s="30"/>
      <c r="L869" s="30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30"/>
      <c r="K870" s="30"/>
      <c r="L870" s="30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30"/>
      <c r="K871" s="30"/>
      <c r="L871" s="30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30"/>
      <c r="K872" s="30"/>
      <c r="L872" s="30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30"/>
      <c r="K873" s="30"/>
      <c r="L873" s="30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30"/>
      <c r="K874" s="30"/>
      <c r="L874" s="30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30"/>
      <c r="K875" s="30"/>
      <c r="L875" s="30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30"/>
      <c r="K876" s="30"/>
      <c r="L876" s="30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30"/>
      <c r="K877" s="30"/>
      <c r="L877" s="30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30"/>
      <c r="K878" s="30"/>
      <c r="L878" s="30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30"/>
      <c r="K879" s="30"/>
      <c r="L879" s="30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30"/>
      <c r="K880" s="30"/>
      <c r="L880" s="30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30"/>
      <c r="K881" s="30"/>
      <c r="L881" s="30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30"/>
      <c r="K882" s="30"/>
      <c r="L882" s="30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30"/>
      <c r="K883" s="30"/>
      <c r="L883" s="30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30"/>
      <c r="K884" s="30"/>
      <c r="L884" s="30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30"/>
      <c r="K885" s="30"/>
      <c r="L885" s="30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30"/>
      <c r="K886" s="30"/>
      <c r="L886" s="30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30"/>
      <c r="K887" s="30"/>
      <c r="L887" s="30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30"/>
      <c r="K888" s="30"/>
      <c r="L888" s="30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30"/>
      <c r="K889" s="30"/>
      <c r="L889" s="30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30"/>
      <c r="K890" s="30"/>
      <c r="L890" s="30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30"/>
      <c r="K891" s="30"/>
      <c r="L891" s="30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30"/>
      <c r="K892" s="30"/>
      <c r="L892" s="30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30"/>
      <c r="K893" s="30"/>
      <c r="L893" s="30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30"/>
      <c r="K894" s="30"/>
      <c r="L894" s="30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30"/>
      <c r="K895" s="30"/>
      <c r="L895" s="30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30"/>
      <c r="K896" s="30"/>
      <c r="L896" s="30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30"/>
      <c r="K897" s="30"/>
      <c r="L897" s="30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30"/>
      <c r="K898" s="30"/>
      <c r="L898" s="30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30"/>
      <c r="K899" s="30"/>
      <c r="L899" s="30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30"/>
      <c r="K900" s="30"/>
      <c r="L900" s="30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30"/>
      <c r="K901" s="30"/>
      <c r="L901" s="30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30"/>
      <c r="K902" s="30"/>
      <c r="L902" s="30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30"/>
      <c r="K903" s="30"/>
      <c r="L903" s="30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30"/>
      <c r="K904" s="30"/>
      <c r="L904" s="30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30"/>
      <c r="K905" s="30"/>
      <c r="L905" s="30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30"/>
      <c r="K906" s="30"/>
      <c r="L906" s="30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30"/>
      <c r="K907" s="30"/>
      <c r="L907" s="30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30"/>
      <c r="K908" s="30"/>
      <c r="L908" s="30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30"/>
      <c r="K909" s="30"/>
      <c r="L909" s="30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30"/>
      <c r="K910" s="30"/>
      <c r="L910" s="30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30"/>
      <c r="K911" s="30"/>
      <c r="L911" s="30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30"/>
      <c r="K912" s="30"/>
      <c r="L912" s="30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30"/>
      <c r="K913" s="30"/>
      <c r="L913" s="30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30"/>
      <c r="K914" s="30"/>
      <c r="L914" s="30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30"/>
      <c r="K915" s="30"/>
      <c r="L915" s="30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30"/>
      <c r="K916" s="30"/>
      <c r="L916" s="30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30"/>
      <c r="K917" s="30"/>
      <c r="L917" s="30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30"/>
      <c r="K918" s="30"/>
      <c r="L918" s="30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30"/>
      <c r="K919" s="30"/>
      <c r="L919" s="30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30"/>
      <c r="K920" s="30"/>
      <c r="L920" s="30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30"/>
      <c r="K921" s="30"/>
      <c r="L921" s="30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30"/>
      <c r="K922" s="30"/>
      <c r="L922" s="30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30"/>
      <c r="K923" s="30"/>
      <c r="L923" s="3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30"/>
      <c r="K924" s="30"/>
      <c r="L924" s="30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30"/>
      <c r="K925" s="30"/>
      <c r="L925" s="30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30"/>
      <c r="K926" s="30"/>
      <c r="L926" s="30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30"/>
      <c r="K927" s="30"/>
      <c r="L927" s="30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30"/>
      <c r="K928" s="30"/>
      <c r="L928" s="30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30"/>
      <c r="K929" s="30"/>
      <c r="L929" s="30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30"/>
      <c r="K930" s="30"/>
      <c r="L930" s="30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30"/>
      <c r="K931" s="30"/>
      <c r="L931" s="30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30"/>
      <c r="K932" s="30"/>
      <c r="L932" s="30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30"/>
      <c r="K933" s="30"/>
      <c r="L933" s="30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30"/>
      <c r="K934" s="30"/>
      <c r="L934" s="30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30"/>
      <c r="K935" s="30"/>
      <c r="L935" s="30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30"/>
      <c r="K936" s="30"/>
      <c r="L936" s="30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30"/>
      <c r="K937" s="30"/>
      <c r="L937" s="30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30"/>
      <c r="K938" s="30"/>
      <c r="L938" s="30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30"/>
      <c r="K939" s="30"/>
      <c r="L939" s="30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30"/>
      <c r="K940" s="30"/>
      <c r="L940" s="30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30"/>
      <c r="K941" s="30"/>
      <c r="L941" s="30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30"/>
      <c r="K942" s="30"/>
      <c r="L942" s="30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30"/>
      <c r="K943" s="30"/>
      <c r="L943" s="30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30"/>
      <c r="K944" s="30"/>
      <c r="L944" s="30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30"/>
      <c r="K945" s="30"/>
      <c r="L945" s="30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30"/>
      <c r="K946" s="30"/>
      <c r="L946" s="30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30"/>
      <c r="K947" s="30"/>
      <c r="L947" s="30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30"/>
      <c r="K948" s="30"/>
      <c r="L948" s="30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30"/>
      <c r="K949" s="30"/>
      <c r="L949" s="30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30"/>
      <c r="K950" s="30"/>
      <c r="L950" s="30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30"/>
      <c r="K951" s="30"/>
      <c r="L951" s="30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30"/>
      <c r="K952" s="30"/>
      <c r="L952" s="30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30"/>
      <c r="K953" s="30"/>
      <c r="L953" s="30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30"/>
      <c r="K954" s="30"/>
      <c r="L954" s="30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30"/>
      <c r="K955" s="30"/>
      <c r="L955" s="30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30"/>
      <c r="K956" s="30"/>
      <c r="L956" s="30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30"/>
      <c r="K957" s="30"/>
      <c r="L957" s="30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30"/>
      <c r="K958" s="30"/>
      <c r="L958" s="30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30"/>
      <c r="K959" s="30"/>
      <c r="L959" s="30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30"/>
      <c r="K960" s="30"/>
      <c r="L960" s="30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30"/>
      <c r="K961" s="30"/>
      <c r="L961" s="30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30"/>
      <c r="K962" s="30"/>
      <c r="L962" s="30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30"/>
      <c r="K963" s="30"/>
      <c r="L963" s="30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30"/>
      <c r="K964" s="30"/>
      <c r="L964" s="30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30"/>
      <c r="K965" s="30"/>
      <c r="L965" s="30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30"/>
      <c r="K966" s="30"/>
      <c r="L966" s="30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30"/>
      <c r="K967" s="30"/>
      <c r="L967" s="30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30"/>
      <c r="K968" s="30"/>
      <c r="L968" s="30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30"/>
      <c r="K969" s="30"/>
      <c r="L969" s="30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30"/>
      <c r="K970" s="30"/>
      <c r="L970" s="30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30"/>
      <c r="K971" s="30"/>
      <c r="L971" s="30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30"/>
      <c r="K972" s="30"/>
      <c r="L972" s="30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30"/>
      <c r="K973" s="30"/>
      <c r="L973" s="30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30"/>
      <c r="K974" s="30"/>
      <c r="L974" s="30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30"/>
      <c r="K975" s="30"/>
      <c r="L975" s="30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30"/>
      <c r="K976" s="30"/>
      <c r="L976" s="30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30"/>
      <c r="K977" s="30"/>
      <c r="L977" s="30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30"/>
      <c r="K978" s="30"/>
      <c r="L978" s="30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30"/>
      <c r="K979" s="30"/>
      <c r="L979" s="30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30"/>
      <c r="K980" s="30"/>
      <c r="L980" s="30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30"/>
      <c r="K981" s="30"/>
      <c r="L981" s="30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30"/>
      <c r="K982" s="30"/>
      <c r="L982" s="30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30"/>
      <c r="K983" s="30"/>
      <c r="L983" s="30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30"/>
      <c r="K984" s="30"/>
      <c r="L984" s="30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30"/>
      <c r="K985" s="30"/>
      <c r="L985" s="30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30"/>
      <c r="K986" s="30"/>
      <c r="L986" s="30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30"/>
      <c r="K987" s="30"/>
      <c r="L987" s="30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30"/>
      <c r="K988" s="30"/>
      <c r="L988" s="30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30"/>
      <c r="K989" s="30"/>
      <c r="L989" s="30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30"/>
      <c r="K990" s="30"/>
      <c r="L990" s="30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30"/>
      <c r="K991" s="30"/>
      <c r="L991" s="30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30"/>
      <c r="K992" s="30"/>
      <c r="L992" s="30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30"/>
      <c r="K993" s="30"/>
      <c r="L993" s="30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30"/>
      <c r="K994" s="30"/>
      <c r="L994" s="30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30"/>
      <c r="K995" s="30"/>
      <c r="L995" s="30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30"/>
      <c r="K996" s="30"/>
      <c r="L996" s="30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30"/>
      <c r="K997" s="30"/>
      <c r="L997" s="30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30"/>
      <c r="K998" s="30"/>
      <c r="L998" s="30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30"/>
      <c r="K999" s="30"/>
      <c r="L999" s="30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0"/>
      <c r="K1000" s="30"/>
      <c r="L1000" s="30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  <row r="1001" spans="1:33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30"/>
      <c r="K1001" s="30"/>
      <c r="L1001" s="30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</row>
    <row r="1002" spans="1:33" ht="14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30"/>
      <c r="K1002" s="30"/>
      <c r="L1002" s="30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</row>
    <row r="1003" spans="1:33" ht="14.2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30"/>
      <c r="K1003" s="30"/>
      <c r="L1003" s="30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</row>
    <row r="1004" spans="1:33" ht="14.2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30"/>
      <c r="K1004" s="30"/>
      <c r="L1004" s="30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</row>
    <row r="1005" spans="1:33" ht="14.2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30"/>
      <c r="K1005" s="30"/>
      <c r="L1005" s="30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</row>
    <row r="1006" spans="1:33" ht="14.2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30"/>
      <c r="K1006" s="30"/>
      <c r="L1006" s="30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</row>
    <row r="1007" spans="1:33" ht="14.2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30"/>
      <c r="K1007" s="30"/>
      <c r="L1007" s="30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</row>
    <row r="1008" spans="1:33" ht="14.2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30"/>
      <c r="K1008" s="30"/>
      <c r="L1008" s="30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</row>
    <row r="1009" spans="1:33" ht="14.2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30"/>
      <c r="K1009" s="30"/>
      <c r="L1009" s="30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</row>
    <row r="1010" spans="1:33" ht="14.2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30"/>
      <c r="K1010" s="30"/>
      <c r="L1010" s="30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</row>
    <row r="1011" spans="1:33" ht="14.2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30"/>
      <c r="K1011" s="30"/>
      <c r="L1011" s="30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</row>
    <row r="1012" spans="1:33" ht="14.2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30"/>
      <c r="K1012" s="30"/>
      <c r="L1012" s="30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</row>
    <row r="1013" spans="1:33" ht="14.2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30"/>
      <c r="K1013" s="30"/>
      <c r="L1013" s="30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</row>
    <row r="1014" spans="1:33" ht="14.2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30"/>
      <c r="K1014" s="30"/>
      <c r="L1014" s="30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</row>
    <row r="1015" spans="1:33" ht="14.2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30"/>
      <c r="K1015" s="30"/>
      <c r="L1015" s="30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</row>
    <row r="1016" spans="1:33" ht="14.2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30"/>
      <c r="K1016" s="30"/>
      <c r="L1016" s="30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</row>
    <row r="1017" spans="1:33" ht="14.2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30"/>
      <c r="K1017" s="30"/>
      <c r="L1017" s="30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</row>
    <row r="1018" spans="1:33" ht="14.2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30"/>
      <c r="K1018" s="30"/>
      <c r="L1018" s="30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</row>
    <row r="1019" spans="1:33" ht="14.2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30"/>
      <c r="K1019" s="30"/>
      <c r="L1019" s="30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</row>
    <row r="1020" spans="1:33" ht="14.2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30"/>
      <c r="K1020" s="30"/>
      <c r="L1020" s="30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</row>
    <row r="1021" spans="1:33" ht="14.2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30"/>
      <c r="K1021" s="30"/>
      <c r="L1021" s="30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</row>
    <row r="1022" spans="1:33" ht="14.2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30"/>
      <c r="K1022" s="30"/>
      <c r="L1022" s="30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</row>
    <row r="1023" spans="1:33" ht="14.2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30"/>
      <c r="K1023" s="30"/>
      <c r="L1023" s="30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</row>
    <row r="1024" spans="1:33" ht="14.2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30"/>
      <c r="K1024" s="30"/>
      <c r="L1024" s="30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</row>
    <row r="1025" spans="1:33" ht="14.2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30"/>
      <c r="K1025" s="30"/>
      <c r="L1025" s="30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</row>
    <row r="1026" spans="1:33" ht="14.2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30"/>
      <c r="K1026" s="30"/>
      <c r="L1026" s="30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</row>
    <row r="1027" spans="1:33" ht="14.2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30"/>
      <c r="K1027" s="30"/>
      <c r="L1027" s="30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</row>
    <row r="1028" spans="1:33" ht="14.2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30"/>
      <c r="K1028" s="30"/>
      <c r="L1028" s="30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</row>
    <row r="1029" spans="1:33" ht="14.2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30"/>
      <c r="K1029" s="30"/>
      <c r="L1029" s="30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</row>
    <row r="1030" spans="1:33" ht="14.2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30"/>
      <c r="K1030" s="30"/>
      <c r="L1030" s="30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</row>
  </sheetData>
  <autoFilter ref="B3:AF84"/>
  <phoneticPr fontId="35" type="noConversion"/>
  <conditionalFormatting sqref="AD25:AD32">
    <cfRule type="cellIs" dxfId="9" priority="3" operator="equal">
      <formula>"Rever Rateio"</formula>
    </cfRule>
    <cfRule type="cellIs" dxfId="8" priority="4" operator="equal">
      <formula>"Mudar Urgente"</formula>
    </cfRule>
  </conditionalFormatting>
  <conditionalFormatting sqref="AD38:AD45">
    <cfRule type="cellIs" dxfId="7" priority="5" operator="equal">
      <formula>"Rever Rateio"</formula>
    </cfRule>
    <cfRule type="cellIs" dxfId="6" priority="6" operator="equal">
      <formula>"Mudar Urgente"</formula>
    </cfRule>
  </conditionalFormatting>
  <conditionalFormatting sqref="AD51:AD58">
    <cfRule type="cellIs" dxfId="5" priority="7" operator="equal">
      <formula>"Rever Rateio"</formula>
    </cfRule>
    <cfRule type="cellIs" dxfId="4" priority="8" operator="equal">
      <formula>"Mudar Urgente"</formula>
    </cfRule>
  </conditionalFormatting>
  <conditionalFormatting sqref="AD63:AD67">
    <cfRule type="cellIs" dxfId="3" priority="9" operator="equal">
      <formula>"Rever Rateio"</formula>
    </cfRule>
    <cfRule type="cellIs" dxfId="2" priority="10" operator="equal">
      <formula>"Mudar Urgente"</formula>
    </cfRule>
  </conditionalFormatting>
  <conditionalFormatting sqref="AD17 AD19 AD10:AD15">
    <cfRule type="cellIs" dxfId="1" priority="1" operator="equal">
      <formula>"Rever Rateio"</formula>
    </cfRule>
    <cfRule type="cellIs" dxfId="0" priority="2" operator="equal">
      <formula>"Mudar Urgente"</formula>
    </cfRule>
  </conditionalFormatting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Hist.BT!$G$3:$G$6</xm:f>
          </x14:formula1>
          <xm:sqref>T77:T83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D94E"/>
  </sheetPr>
  <dimension ref="A1:AV1000"/>
  <sheetViews>
    <sheetView view="pageBreakPreview" topLeftCell="O1" zoomScale="60" zoomScaleNormal="70" workbookViewId="0">
      <selection activeCell="X1" sqref="X1"/>
    </sheetView>
  </sheetViews>
  <sheetFormatPr defaultColWidth="14.42578125" defaultRowHeight="15" customHeight="1"/>
  <cols>
    <col min="1" max="1" width="8.5703125" customWidth="1"/>
    <col min="2" max="2" width="9.5703125" customWidth="1"/>
    <col min="3" max="3" width="26.5703125" customWidth="1"/>
    <col min="4" max="4" width="8.140625" customWidth="1"/>
    <col min="5" max="5" width="17.5703125" customWidth="1"/>
    <col min="6" max="6" width="15.5703125" customWidth="1"/>
    <col min="7" max="7" width="13.42578125" customWidth="1"/>
    <col min="8" max="8" width="14.42578125" customWidth="1"/>
    <col min="9" max="9" width="12.5703125" customWidth="1"/>
    <col min="10" max="10" width="13" customWidth="1"/>
    <col min="11" max="11" width="22.85546875" customWidth="1"/>
    <col min="12" max="16" width="12.140625" customWidth="1"/>
    <col min="17" max="17" width="7.42578125" customWidth="1"/>
    <col min="18" max="18" width="3.42578125" customWidth="1"/>
    <col min="19" max="19" width="5.140625" customWidth="1"/>
    <col min="20" max="20" width="10.85546875" customWidth="1"/>
    <col min="21" max="21" width="30.140625" customWidth="1"/>
    <col min="22" max="22" width="6.5703125" customWidth="1"/>
    <col min="23" max="23" width="13.42578125" customWidth="1"/>
    <col min="24" max="24" width="13.5703125" customWidth="1"/>
    <col min="25" max="25" width="4.42578125" customWidth="1"/>
    <col min="26" max="26" width="13.5703125" customWidth="1"/>
    <col min="27" max="27" width="13.140625" customWidth="1"/>
    <col min="28" max="28" width="10.85546875" customWidth="1"/>
    <col min="29" max="29" width="12.140625" customWidth="1"/>
    <col min="30" max="30" width="15.140625" customWidth="1"/>
    <col min="31" max="31" width="13.42578125" customWidth="1"/>
    <col min="32" max="32" width="12.42578125" customWidth="1"/>
    <col min="33" max="33" width="9.5703125" customWidth="1"/>
    <col min="34" max="34" width="10.85546875" customWidth="1"/>
    <col min="35" max="35" width="10.42578125" customWidth="1"/>
    <col min="36" max="38" width="9.140625" customWidth="1"/>
    <col min="39" max="39" width="5" customWidth="1"/>
    <col min="40" max="40" width="9.140625" customWidth="1"/>
    <col min="41" max="42" width="18.140625" customWidth="1"/>
    <col min="43" max="43" width="12.140625" customWidth="1"/>
    <col min="44" max="44" width="16.140625" customWidth="1"/>
    <col min="45" max="46" width="9.140625" customWidth="1"/>
    <col min="47" max="47" width="17.140625" customWidth="1"/>
    <col min="48" max="48" width="16.140625" customWidth="1"/>
  </cols>
  <sheetData>
    <row r="1" spans="1:48" ht="14.25" customHeight="1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/>
      <c r="O1" s="4"/>
      <c r="P1" s="4"/>
      <c r="Q1" s="4"/>
      <c r="R1" s="4" t="s">
        <v>159</v>
      </c>
      <c r="S1" s="4"/>
      <c r="T1" s="161">
        <v>39</v>
      </c>
      <c r="U1" s="4"/>
      <c r="V1" s="4"/>
      <c r="W1" s="4"/>
      <c r="X1" s="4" t="str">
        <f>YEAR(X7)&amp;" "&amp;MONTH(X7)&amp;" Fatura e Medição"&amp;" CC"&amp;VLOOKUP($T$1,$A$5:$L$47,6,FALSE)&amp;" "&amp;S12</f>
        <v>2026 1 Fatura e Medição CC3006793931 Patricia Maria Abreu Machado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 t="s">
        <v>292</v>
      </c>
      <c r="AP1" s="245"/>
      <c r="AQ1" s="4"/>
      <c r="AR1" s="4"/>
      <c r="AS1" s="4"/>
      <c r="AT1" s="4"/>
      <c r="AU1" s="4"/>
      <c r="AV1" s="4"/>
    </row>
    <row r="2" spans="1:48" ht="9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62">
        <v>1175.98</v>
      </c>
      <c r="AK2" s="4"/>
      <c r="AL2" s="4"/>
      <c r="AM2" s="4"/>
      <c r="AN2" s="4"/>
      <c r="AO2" s="4" t="s">
        <v>293</v>
      </c>
      <c r="AP2" s="245"/>
      <c r="AQ2" s="4"/>
      <c r="AR2" s="4"/>
      <c r="AS2" s="4"/>
      <c r="AT2" s="4"/>
      <c r="AU2" s="4"/>
      <c r="AV2" s="4"/>
    </row>
    <row r="3" spans="1:48" ht="15" customHeight="1">
      <c r="A3" s="48" t="s">
        <v>159</v>
      </c>
      <c r="B3" s="48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8"/>
      <c r="R3" s="1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>
        <v>699.73</v>
      </c>
      <c r="AK3" s="4"/>
      <c r="AL3" s="4"/>
      <c r="AM3" s="4"/>
      <c r="AN3" s="4"/>
      <c r="AO3" s="4" t="s">
        <v>294</v>
      </c>
      <c r="AP3" s="245"/>
      <c r="AQ3" s="4"/>
      <c r="AR3" s="4"/>
      <c r="AS3" s="4"/>
      <c r="AT3" s="4"/>
      <c r="AU3" s="4"/>
      <c r="AV3" s="4"/>
    </row>
    <row r="4" spans="1:48" ht="12" customHeight="1">
      <c r="A4" s="163" t="s">
        <v>173</v>
      </c>
      <c r="B4" s="164" t="s">
        <v>174</v>
      </c>
      <c r="C4" s="164" t="s">
        <v>175</v>
      </c>
      <c r="D4" s="164" t="s">
        <v>117</v>
      </c>
      <c r="E4" s="164" t="s">
        <v>176</v>
      </c>
      <c r="F4" s="164" t="s">
        <v>36</v>
      </c>
      <c r="G4" s="164" t="s">
        <v>177</v>
      </c>
      <c r="H4" s="164" t="s">
        <v>121</v>
      </c>
      <c r="I4" s="164" t="s">
        <v>150</v>
      </c>
      <c r="J4" s="164" t="s">
        <v>135</v>
      </c>
      <c r="K4" s="165" t="s">
        <v>178</v>
      </c>
      <c r="L4" s="166" t="s">
        <v>57</v>
      </c>
      <c r="M4" s="166" t="s">
        <v>158</v>
      </c>
      <c r="N4" s="166" t="s">
        <v>179</v>
      </c>
      <c r="O4" s="167" t="s">
        <v>180</v>
      </c>
      <c r="P4" s="167" t="s">
        <v>181</v>
      </c>
      <c r="Q4" s="4"/>
      <c r="R4" s="5"/>
      <c r="S4" s="6"/>
      <c r="T4" s="7"/>
      <c r="U4" s="292" t="s">
        <v>182</v>
      </c>
      <c r="V4" s="294" t="str">
        <f>"Recibo de Locação "</f>
        <v xml:space="preserve">Recibo de Locação </v>
      </c>
      <c r="W4" s="295"/>
      <c r="X4" s="296"/>
      <c r="Y4" s="8"/>
      <c r="Z4" s="48" t="s">
        <v>183</v>
      </c>
      <c r="AA4" s="4"/>
      <c r="AB4" s="4"/>
      <c r="AC4" s="4"/>
      <c r="AD4" s="4"/>
      <c r="AE4" s="24" t="s">
        <v>184</v>
      </c>
      <c r="AF4" s="4"/>
      <c r="AG4" s="4"/>
      <c r="AH4" s="4"/>
      <c r="AI4" s="4"/>
      <c r="AJ4" s="162">
        <f>AJ2+AJ3</f>
        <v>1875.71</v>
      </c>
      <c r="AK4" s="4"/>
      <c r="AL4" s="4"/>
      <c r="AM4" s="4"/>
      <c r="AN4" s="4"/>
      <c r="AO4" s="4"/>
      <c r="AP4" s="245"/>
      <c r="AQ4" s="4"/>
      <c r="AR4" s="4"/>
      <c r="AS4" s="4"/>
      <c r="AT4" s="4"/>
      <c r="AU4" s="4"/>
      <c r="AV4" s="4"/>
    </row>
    <row r="5" spans="1:48" ht="14.25" customHeight="1">
      <c r="A5" s="42">
        <v>1</v>
      </c>
      <c r="B5" s="56" t="str">
        <f>VLOOKUP(A5,Medições!$E$3:$Y$89,4,FALSE)</f>
        <v>3.4</v>
      </c>
      <c r="C5" s="168" t="str">
        <f>VLOOKUP(B5,Cad.RateioConsumo!$B$3:$Q$55,14,FALSE)</f>
        <v>Antonio Jose Souza Filho</v>
      </c>
      <c r="D5" s="168" t="str">
        <f>IF(VLOOKUP(B5,Cad.RateioConsumo!$B$3:$Q$35,3,FALSE)="PF","CPF","CNPJ")</f>
        <v>CNPJ</v>
      </c>
      <c r="E5" s="56" t="str">
        <f>VLOOKUP(B5,Cad.RateioConsumo!$B$3:$Q$35,4,FALSE)</f>
        <v>682.957.583-49</v>
      </c>
      <c r="F5" s="56">
        <f>VLOOKUP(B5,Cad.RateioConsumo!$B$3:$Q$35,5,FALSE)</f>
        <v>3007625048</v>
      </c>
      <c r="G5" s="56" t="str">
        <f>VLOOKUP(B5,Cad.RateioConsumo!$B$3:$Q$35,13,FALSE)</f>
        <v>R. 03 , 23 , LOT ALTO DO JAGUAREMA QD 05 LOT - ALTO DO JAGUAREMA QD 05 CEP: 65110-000 ARACAGY</v>
      </c>
      <c r="H5" s="169" t="str">
        <f>VLOOKUP(A5,Medições!$E$3:$Y$95,7,FALSE)</f>
        <v>09/2025</v>
      </c>
      <c r="I5" s="170">
        <f>VLOOKUP(A5,Medições!$E$3:$Y$95,18,FALSE)</f>
        <v>442.3</v>
      </c>
      <c r="J5" s="169">
        <f>VLOOKUP(Faturas!$B5&amp;Faturas!$H5,Hist.Consum!$B$61:$V$119,11,FALSE)</f>
        <v>45924</v>
      </c>
      <c r="K5" s="40">
        <f>VLOOKUP(A5,Medições!$E$3:$Y$95,3,FALSE)</f>
        <v>3023637013</v>
      </c>
      <c r="L5" s="56" t="str">
        <f>VLOOKUP(Faturas!$A5,Medições!$E$3:$Y$86,2,FALSE)</f>
        <v>Usina 3</v>
      </c>
      <c r="M5" s="57">
        <f>VLOOKUP(Faturas!$A5,Medições!$E$3:$Z$103,11,FALSE)</f>
        <v>486.6</v>
      </c>
      <c r="N5" s="57">
        <f>VLOOKUP(Faturas!$A5,Medições!$E$3:$BA$97,24,FALSE)</f>
        <v>466</v>
      </c>
      <c r="O5" s="4"/>
      <c r="P5" s="4"/>
      <c r="Q5" s="4"/>
      <c r="R5" s="5"/>
      <c r="S5" s="9"/>
      <c r="T5" s="10"/>
      <c r="U5" s="293"/>
      <c r="V5" s="1"/>
      <c r="W5" s="2"/>
      <c r="X5" s="3"/>
      <c r="Y5" s="8"/>
      <c r="Z5" s="4" t="str">
        <f>"Nome do Cliente: "&amp;S12</f>
        <v>Nome do Cliente: Patricia Maria Abreu Machado</v>
      </c>
      <c r="AA5" s="4"/>
      <c r="AB5" s="4"/>
      <c r="AC5" s="4"/>
      <c r="AD5" s="4"/>
      <c r="AE5" s="4" t="str">
        <f>"Referência: "&amp;X7</f>
        <v>Referência: 01/2026</v>
      </c>
      <c r="AF5" s="4"/>
      <c r="AG5" s="4"/>
      <c r="AH5" s="4"/>
      <c r="AI5" s="4"/>
      <c r="AJ5" s="4"/>
      <c r="AK5" s="4"/>
      <c r="AL5" s="4"/>
      <c r="AM5" s="4"/>
      <c r="AN5" s="4"/>
      <c r="AO5" s="4" t="s">
        <v>295</v>
      </c>
      <c r="AP5" s="245"/>
      <c r="AQ5" s="4"/>
      <c r="AR5" s="4"/>
      <c r="AS5" s="4"/>
      <c r="AT5" s="4"/>
      <c r="AU5" s="4"/>
      <c r="AV5" s="4"/>
    </row>
    <row r="6" spans="1:48" ht="14.25" customHeight="1">
      <c r="A6" s="42">
        <v>2</v>
      </c>
      <c r="B6" s="56" t="str">
        <f>VLOOKUP(A6,Medições!$E$3:$Y$89,4,FALSE)</f>
        <v>3.3</v>
      </c>
      <c r="C6" s="168" t="str">
        <f>VLOOKUP(B6,Cad.RateioConsumo!$B$3:$Q$55,14,FALSE)</f>
        <v>Associação dos Moradores do Residencial Araçagy</v>
      </c>
      <c r="D6" s="168" t="str">
        <f>IF(VLOOKUP(B6,Cad.RateioConsumo!$B$3:$Q$35,3,FALSE)="PF","CPF","CNPJ")</f>
        <v>CNPJ</v>
      </c>
      <c r="E6" s="56" t="str">
        <f>VLOOKUP(B6,Cad.RateioConsumo!$B$3:$Q$35,4,FALSE)</f>
        <v>20.069.500/0001-97</v>
      </c>
      <c r="F6" s="56">
        <f>VLOOKUP(B6,Cad.RateioConsumo!$B$3:$Q$35,5,FALSE)</f>
        <v>3021150559</v>
      </c>
      <c r="G6" s="56" t="str">
        <f>VLOOKUP(B6,Cad.RateioConsumo!$B$3:$Q$35,13,FALSE)</f>
        <v>R. Granja , s/n , CP 26 CS 36 PS 1, cep: 65138-000 Aracagi - Raposa - MA,</v>
      </c>
      <c r="H6" s="169" t="str">
        <f>VLOOKUP(A6,Medições!$E$3:$Y$95,7,FALSE)</f>
        <v>09/2025</v>
      </c>
      <c r="I6" s="170">
        <f>VLOOKUP(A6,Medições!$E$3:$Y$95,18,FALSE)</f>
        <v>1629.46</v>
      </c>
      <c r="J6" s="169">
        <f>VLOOKUP(Faturas!$B6&amp;Faturas!$H6,Hist.Consum!$B$61:$V$119,11,FALSE)</f>
        <v>45924</v>
      </c>
      <c r="K6" s="40">
        <f>VLOOKUP(A6,Medições!$E$3:$Y$95,3,FALSE)</f>
        <v>3023637013</v>
      </c>
      <c r="L6" s="56" t="str">
        <f>VLOOKUP(Faturas!$A6,Medições!$E$3:$Y$86,2,FALSE)</f>
        <v>Usina 3</v>
      </c>
      <c r="M6" s="57">
        <f>VLOOKUP(Faturas!$A6,Medições!$E$3:$Z$103,11,FALSE)</f>
        <v>2433.02</v>
      </c>
      <c r="N6" s="57">
        <f>VLOOKUP(Faturas!$A6,Medições!$E$3:$BA$97,24,FALSE)</f>
        <v>1733.29</v>
      </c>
      <c r="O6" s="4"/>
      <c r="P6" s="4"/>
      <c r="Q6" s="4"/>
      <c r="R6" s="5"/>
      <c r="S6" s="9"/>
      <c r="T6" s="10"/>
      <c r="U6" s="297" t="s">
        <v>7</v>
      </c>
      <c r="V6" s="5" t="s">
        <v>0</v>
      </c>
      <c r="W6" s="4"/>
      <c r="X6" s="171">
        <f>VLOOKUP(T1,$A$5:$L$77,1,FALSE)</f>
        <v>39</v>
      </c>
      <c r="Y6" s="8"/>
      <c r="Z6" s="4" t="str">
        <f>"Conta Contrato da Cliente: "&amp;VLOOKUP($T$1,$A$5:$L$47,6,FALSE)</f>
        <v>Conta Contrato da Cliente: 3006793931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245"/>
      <c r="AQ6" s="4"/>
      <c r="AR6" s="4"/>
      <c r="AS6" s="4"/>
      <c r="AT6" s="4"/>
      <c r="AU6" s="4"/>
      <c r="AV6" s="4"/>
    </row>
    <row r="7" spans="1:48" ht="14.25" customHeight="1">
      <c r="A7" s="42">
        <v>3</v>
      </c>
      <c r="B7" s="56" t="str">
        <f>VLOOKUP(A7,Medições!$E$3:$Y$89,4,FALSE)</f>
        <v>3.2</v>
      </c>
      <c r="C7" s="168" t="str">
        <f>VLOOKUP(B7,Cad.RateioConsumo!$B$3:$Q$55,14,FALSE)</f>
        <v>Associação dos Moradores do Residencial Araçagy</v>
      </c>
      <c r="D7" s="168" t="str">
        <f>IF(VLOOKUP(B7,Cad.RateioConsumo!$B$3:$Q$35,3,FALSE)="PF","CPF","CNPJ")</f>
        <v>CNPJ</v>
      </c>
      <c r="E7" s="56" t="str">
        <f>VLOOKUP(B7,Cad.RateioConsumo!$B$3:$Q$35,4,FALSE)</f>
        <v>20.069.500/0001-97</v>
      </c>
      <c r="F7" s="56">
        <f>VLOOKUP(B7,Cad.RateioConsumo!$B$3:$Q$35,5,FALSE)</f>
        <v>3021149593</v>
      </c>
      <c r="G7" s="56" t="str">
        <f>VLOOKUP(B7,Cad.RateioConsumo!$B$3:$Q$35,13,FALSE)</f>
        <v>R. da Agranja , 50 , CP 26 CS 36 PS 4, cep: 65138-000 Aracagi - Raposa - MA</v>
      </c>
      <c r="H7" s="169" t="str">
        <f>VLOOKUP(A7,Medições!$E$3:$Y$95,7,FALSE)</f>
        <v>09/2025</v>
      </c>
      <c r="I7" s="170">
        <f>VLOOKUP(A7,Medições!$E$3:$Y$95,18,FALSE)</f>
        <v>805.79</v>
      </c>
      <c r="J7" s="169">
        <f>VLOOKUP(Faturas!$B7&amp;Faturas!$H7,Hist.Consum!$B$61:$V$119,11,FALSE)</f>
        <v>45924</v>
      </c>
      <c r="K7" s="40">
        <f>VLOOKUP(A7,Medições!$E$3:$Y$95,3,FALSE)</f>
        <v>3023637013</v>
      </c>
      <c r="L7" s="56" t="str">
        <f>VLOOKUP(Faturas!$A7,Medições!$E$3:$Y$86,2,FALSE)</f>
        <v>Usina 3</v>
      </c>
      <c r="M7" s="57">
        <f>VLOOKUP(Faturas!$A7,Medições!$E$3:$Z$103,11,FALSE)</f>
        <v>857.27</v>
      </c>
      <c r="N7" s="57">
        <f>VLOOKUP(Faturas!$A7,Medições!$E$3:$BA$97,24,FALSE)</f>
        <v>857.27</v>
      </c>
      <c r="O7" s="4"/>
      <c r="P7" s="4"/>
      <c r="Q7" s="4"/>
      <c r="R7" s="5"/>
      <c r="S7" s="9"/>
      <c r="T7" s="10"/>
      <c r="U7" s="298"/>
      <c r="V7" s="5" t="s">
        <v>1</v>
      </c>
      <c r="W7" s="4"/>
      <c r="X7" s="13" t="str">
        <f>VLOOKUP(T1,$A$5:$L$77,8,FALSE)</f>
        <v>01/2026</v>
      </c>
      <c r="Y7" s="8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 t="str">
        <f>VLOOKUP($T$1,$A$5:$L$229,2,FALSE)</f>
        <v>3.6</v>
      </c>
      <c r="AM7" s="4"/>
      <c r="AN7" s="4"/>
      <c r="AO7" s="4"/>
      <c r="AP7" s="245"/>
      <c r="AQ7" s="4"/>
      <c r="AR7" s="4"/>
      <c r="AS7" s="4"/>
      <c r="AT7" s="4"/>
      <c r="AU7" s="4"/>
      <c r="AV7" s="4"/>
    </row>
    <row r="8" spans="1:48" ht="14.25" customHeight="1">
      <c r="A8" s="42">
        <v>4</v>
      </c>
      <c r="B8" s="56" t="str">
        <f>VLOOKUP(A8,Medições!$E$3:$Y$89,4,FALSE)</f>
        <v>3.1</v>
      </c>
      <c r="C8" s="168" t="str">
        <f>VLOOKUP(B8,Cad.RateioConsumo!$B$3:$Q$55,14,FALSE)</f>
        <v>Associação dos Moradores do Residencial Araçagy</v>
      </c>
      <c r="D8" s="168" t="str">
        <f>IF(VLOOKUP(B8,Cad.RateioConsumo!$B$3:$Q$35,3,FALSE)="PF","CPF","CNPJ")</f>
        <v>CNPJ</v>
      </c>
      <c r="E8" s="56" t="str">
        <f>VLOOKUP(B8,Cad.RateioConsumo!$B$3:$Q$35,4,FALSE)</f>
        <v>20.069.500/0001-97</v>
      </c>
      <c r="F8" s="56">
        <f>VLOOKUP(B8,Cad.RateioConsumo!$B$3:$Q$35,5,FALSE)</f>
        <v>3021142432</v>
      </c>
      <c r="G8" s="56" t="str">
        <f>VLOOKUP(B8,Cad.RateioConsumo!$B$3:$Q$35,13,FALSE)</f>
        <v>R. da Agranja , 50 , CP 26 CS 59 PS 1, CEP: 65138-000 Aracagi - Raposa - MA</v>
      </c>
      <c r="H8" s="169" t="str">
        <f>VLOOKUP(A8,Medições!$E$3:$Y$95,7,FALSE)</f>
        <v>09/2025</v>
      </c>
      <c r="I8" s="170">
        <f>VLOOKUP(A8,Medições!$E$3:$Y$95,18,FALSE)</f>
        <v>127.7</v>
      </c>
      <c r="J8" s="169">
        <f>VLOOKUP(Faturas!$B8&amp;Faturas!$H8,Hist.Consum!$B$61:$V$119,11,FALSE)</f>
        <v>45924</v>
      </c>
      <c r="K8" s="40">
        <f>VLOOKUP(A8,Medições!$E$3:$Y$95,3,FALSE)</f>
        <v>3023637013</v>
      </c>
      <c r="L8" s="56" t="str">
        <f>VLOOKUP(Faturas!$A8,Medições!$E$3:$Y$86,2,FALSE)</f>
        <v>Usina 3</v>
      </c>
      <c r="M8" s="57">
        <f>VLOOKUP(Faturas!$A8,Medições!$E$3:$Z$103,11,FALSE)</f>
        <v>240.04</v>
      </c>
      <c r="N8" s="57">
        <f>VLOOKUP(Faturas!$A8,Medições!$E$3:$BA$97,24,FALSE)</f>
        <v>135.84</v>
      </c>
      <c r="O8" s="4"/>
      <c r="P8" s="4"/>
      <c r="Q8" s="4"/>
      <c r="R8" s="5"/>
      <c r="S8" s="9"/>
      <c r="T8" s="10"/>
      <c r="U8" s="293"/>
      <c r="V8" s="5" t="s">
        <v>2</v>
      </c>
      <c r="W8" s="4"/>
      <c r="X8" s="11">
        <f>VLOOKUP(T1,$A$5:$L$77,10,FALSE)</f>
        <v>46057</v>
      </c>
      <c r="Y8" s="8"/>
      <c r="Z8" s="48" t="s">
        <v>25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50" t="str">
        <f>VLOOKUP($T$1,$A$5:$L$229,8,FALSE)</f>
        <v>01/2026</v>
      </c>
      <c r="AM8" s="4"/>
      <c r="AN8" s="4"/>
      <c r="AO8" s="4"/>
      <c r="AP8" s="245"/>
      <c r="AQ8" s="4"/>
      <c r="AR8" s="4"/>
      <c r="AS8" s="4"/>
      <c r="AT8" s="4"/>
      <c r="AU8" s="4"/>
      <c r="AV8" s="4"/>
    </row>
    <row r="9" spans="1:48" ht="15" customHeight="1">
      <c r="A9" s="42">
        <v>5</v>
      </c>
      <c r="B9" s="56" t="str">
        <f>VLOOKUP(A9,Medições!$E$3:$Y$89,4,FALSE)</f>
        <v>3.4</v>
      </c>
      <c r="C9" s="168" t="str">
        <f>VLOOKUP(B9,Cad.RateioConsumo!$B$3:$Q$55,14,FALSE)</f>
        <v>Antonio Jose Souza Filho</v>
      </c>
      <c r="D9" s="168" t="str">
        <f>IF(VLOOKUP(B9,Cad.RateioConsumo!$B$3:$Q$35,3,FALSE)="PF","CPF","CNPJ")</f>
        <v>CNPJ</v>
      </c>
      <c r="E9" s="56" t="str">
        <f>VLOOKUP(B9,Cad.RateioConsumo!$B$3:$Q$35,4,FALSE)</f>
        <v>682.957.583-49</v>
      </c>
      <c r="F9" s="56">
        <f>VLOOKUP(B9,Cad.RateioConsumo!$B$3:$Q$35,5,FALSE)</f>
        <v>3007625048</v>
      </c>
      <c r="G9" s="56" t="str">
        <f>VLOOKUP(B9,Cad.RateioConsumo!$B$3:$Q$35,13,FALSE)</f>
        <v>R. 03 , 23 , LOT ALTO DO JAGUAREMA QD 05 LOT - ALTO DO JAGUAREMA QD 05 CEP: 65110-000 ARACAGY</v>
      </c>
      <c r="H9" s="169" t="str">
        <f>VLOOKUP(A9,Medições!$E$3:$Y$95,7,FALSE)</f>
        <v>10/2025</v>
      </c>
      <c r="I9" s="170">
        <f>VLOOKUP(A9,Medições!$E$3:$Y$95,18,FALSE)</f>
        <v>496.75</v>
      </c>
      <c r="J9" s="169">
        <f>VLOOKUP(Faturas!$B9&amp;Faturas!$H9,Hist.Consum!$B$61:$V$119,11,FALSE)</f>
        <v>45954</v>
      </c>
      <c r="K9" s="40">
        <f>VLOOKUP(A9,Medições!$E$3:$Y$95,3,FALSE)</f>
        <v>3023637013</v>
      </c>
      <c r="L9" s="56" t="str">
        <f>VLOOKUP(Faturas!$A9,Medições!$E$3:$Y$86,2,FALSE)</f>
        <v>Usina 3</v>
      </c>
      <c r="M9" s="57">
        <f>VLOOKUP(Faturas!$A9,Medições!$E$3:$Z$103,11,FALSE)</f>
        <v>486.87</v>
      </c>
      <c r="N9" s="57">
        <f>VLOOKUP(Faturas!$A9,Medições!$E$3:$BA$97,24,FALSE)</f>
        <v>942</v>
      </c>
      <c r="O9" s="4"/>
      <c r="P9" s="4"/>
      <c r="Q9" s="4"/>
      <c r="R9" s="5"/>
      <c r="S9" s="9"/>
      <c r="T9" s="10"/>
      <c r="U9" s="14" t="s">
        <v>185</v>
      </c>
      <c r="V9" s="5" t="s">
        <v>4</v>
      </c>
      <c r="W9" s="4"/>
      <c r="X9" s="15" t="s">
        <v>5</v>
      </c>
      <c r="Y9" s="8"/>
      <c r="Z9" s="290" t="s">
        <v>186</v>
      </c>
      <c r="AA9" s="290" t="s">
        <v>164</v>
      </c>
      <c r="AB9" s="290" t="s">
        <v>187</v>
      </c>
      <c r="AC9" s="290" t="s">
        <v>188</v>
      </c>
      <c r="AD9" s="290" t="s">
        <v>149</v>
      </c>
      <c r="AE9" s="290" t="s">
        <v>129</v>
      </c>
      <c r="AF9" s="290" t="s">
        <v>189</v>
      </c>
      <c r="AG9" s="290" t="s">
        <v>190</v>
      </c>
      <c r="AH9" s="4" t="str">
        <f>AL7&amp;AL8</f>
        <v>3.601/2026</v>
      </c>
      <c r="AI9" s="4"/>
      <c r="AJ9" s="4"/>
      <c r="AK9" s="4"/>
      <c r="AL9" s="4"/>
      <c r="AM9" s="4"/>
      <c r="AN9" s="4"/>
      <c r="AO9" s="4"/>
      <c r="AP9" s="245"/>
      <c r="AQ9" s="4"/>
      <c r="AR9" s="4"/>
      <c r="AS9" s="4"/>
      <c r="AT9" s="4"/>
      <c r="AU9" s="4"/>
      <c r="AV9" s="4"/>
    </row>
    <row r="10" spans="1:48" ht="14.25" customHeight="1">
      <c r="A10" s="42">
        <v>6</v>
      </c>
      <c r="B10" s="56" t="str">
        <f>VLOOKUP(A10,Medições!$E$3:$Y$89,4,FALSE)</f>
        <v>3.3</v>
      </c>
      <c r="C10" s="168" t="str">
        <f>VLOOKUP(B10,Cad.RateioConsumo!$B$3:$Q$55,14,FALSE)</f>
        <v>Associação dos Moradores do Residencial Araçagy</v>
      </c>
      <c r="D10" s="168" t="str">
        <f>IF(VLOOKUP(B10,Cad.RateioConsumo!$B$3:$Q$35,3,FALSE)="PF","CPF","CNPJ")</f>
        <v>CNPJ</v>
      </c>
      <c r="E10" s="56" t="str">
        <f>VLOOKUP(B10,Cad.RateioConsumo!$B$3:$Q$35,4,FALSE)</f>
        <v>20.069.500/0001-97</v>
      </c>
      <c r="F10" s="56">
        <f>VLOOKUP(B10,Cad.RateioConsumo!$B$3:$Q$35,5,FALSE)</f>
        <v>3021150559</v>
      </c>
      <c r="G10" s="56" t="str">
        <f>VLOOKUP(B10,Cad.RateioConsumo!$B$3:$Q$35,13,FALSE)</f>
        <v>R. Granja , s/n , CP 26 CS 36 PS 1, cep: 65138-000 Aracagi - Raposa - MA,</v>
      </c>
      <c r="H10" s="169" t="str">
        <f>VLOOKUP(A10,Medições!$E$3:$Y$95,7,FALSE)</f>
        <v>10/2025</v>
      </c>
      <c r="I10" s="170">
        <f>VLOOKUP(A10,Medições!$E$3:$Y$95,18,FALSE)</f>
        <v>1957.49</v>
      </c>
      <c r="J10" s="169">
        <f>VLOOKUP(Faturas!$B10&amp;Faturas!$H10,Hist.Consum!$B$61:$V$119,11,FALSE)</f>
        <v>45954</v>
      </c>
      <c r="K10" s="40">
        <f>VLOOKUP(A10,Medições!$E$3:$Y$95,3,FALSE)</f>
        <v>3023637013</v>
      </c>
      <c r="L10" s="56" t="str">
        <f>VLOOKUP(Faturas!$A10,Medições!$E$3:$Y$86,2,FALSE)</f>
        <v>Usina 3</v>
      </c>
      <c r="M10" s="57">
        <f>VLOOKUP(Faturas!$A10,Medições!$E$3:$Z$103,11,FALSE)</f>
        <v>2434.36</v>
      </c>
      <c r="N10" s="57">
        <f>VLOOKUP(Faturas!$A10,Medições!$E$3:$BA$97,24,FALSE)</f>
        <v>3609</v>
      </c>
      <c r="O10" s="4"/>
      <c r="P10" s="4"/>
      <c r="Q10" s="4"/>
      <c r="R10" s="5"/>
      <c r="S10" s="16"/>
      <c r="T10" s="17"/>
      <c r="U10" s="17"/>
      <c r="V10" s="18"/>
      <c r="W10" s="19"/>
      <c r="X10" s="20"/>
      <c r="Y10" s="8"/>
      <c r="Z10" s="291"/>
      <c r="AA10" s="291"/>
      <c r="AB10" s="291"/>
      <c r="AC10" s="291"/>
      <c r="AD10" s="291"/>
      <c r="AE10" s="291"/>
      <c r="AF10" s="291"/>
      <c r="AG10" s="291"/>
      <c r="AH10" s="4"/>
      <c r="AI10" s="4"/>
      <c r="AJ10" s="4"/>
      <c r="AK10" s="4"/>
      <c r="AL10" s="4"/>
      <c r="AM10" s="4"/>
      <c r="AN10" s="4"/>
      <c r="AO10" s="4"/>
      <c r="AP10" s="245"/>
      <c r="AQ10" s="4"/>
      <c r="AR10" s="4"/>
      <c r="AS10" s="4"/>
      <c r="AT10" s="4"/>
      <c r="AU10" s="4"/>
      <c r="AV10" s="4"/>
    </row>
    <row r="11" spans="1:48" ht="14.25" customHeight="1">
      <c r="A11" s="42">
        <v>7</v>
      </c>
      <c r="B11" s="56" t="str">
        <f>VLOOKUP(A11,Medições!$E$3:$Y$89,4,FALSE)</f>
        <v>3.2</v>
      </c>
      <c r="C11" s="168" t="str">
        <f>VLOOKUP(B11,Cad.RateioConsumo!$B$3:$Q$55,14,FALSE)</f>
        <v>Associação dos Moradores do Residencial Araçagy</v>
      </c>
      <c r="D11" s="168" t="str">
        <f>IF(VLOOKUP(B11,Cad.RateioConsumo!$B$3:$Q$35,3,FALSE)="PF","CPF","CNPJ")</f>
        <v>CNPJ</v>
      </c>
      <c r="E11" s="56" t="str">
        <f>VLOOKUP(B11,Cad.RateioConsumo!$B$3:$Q$35,4,FALSE)</f>
        <v>20.069.500/0001-97</v>
      </c>
      <c r="F11" s="56">
        <f>VLOOKUP(B11,Cad.RateioConsumo!$B$3:$Q$35,5,FALSE)</f>
        <v>3021149593</v>
      </c>
      <c r="G11" s="56" t="str">
        <f>VLOOKUP(B11,Cad.RateioConsumo!$B$3:$Q$35,13,FALSE)</f>
        <v>R. da Agranja , 50 , CP 26 CS 36 PS 4, cep: 65138-000 Aracagi - Raposa - MA</v>
      </c>
      <c r="H11" s="169" t="str">
        <f>VLOOKUP(A11,Medições!$E$3:$Y$95,7,FALSE)</f>
        <v>10/2025</v>
      </c>
      <c r="I11" s="170">
        <f>VLOOKUP(A11,Medições!$E$3:$Y$95,18,FALSE)</f>
        <v>895.14</v>
      </c>
      <c r="J11" s="169">
        <f>VLOOKUP(Faturas!$B11&amp;Faturas!$H11,Hist.Consum!$B$5:$V$119,11,FALSE)</f>
        <v>45954</v>
      </c>
      <c r="K11" s="40">
        <f>VLOOKUP(A11,Medições!$E$3:$Y$95,3,FALSE)</f>
        <v>3023637013</v>
      </c>
      <c r="L11" s="56" t="str">
        <f>VLOOKUP(Faturas!$A11,Medições!$E$3:$Y$86,2,FALSE)</f>
        <v>Usina 3</v>
      </c>
      <c r="M11" s="57">
        <f>VLOOKUP(Faturas!$A11,Medições!$E$3:$Z$103,11,FALSE)</f>
        <v>857.75</v>
      </c>
      <c r="N11" s="57">
        <f>VLOOKUP(Faturas!$A11,Medições!$E$3:$BA$97,24,FALSE)</f>
        <v>1715.01</v>
      </c>
      <c r="O11" s="4"/>
      <c r="P11" s="4"/>
      <c r="Q11" s="4"/>
      <c r="R11" s="5"/>
      <c r="S11" s="21" t="s">
        <v>6</v>
      </c>
      <c r="T11" s="22"/>
      <c r="U11" s="2"/>
      <c r="V11" s="4"/>
      <c r="W11" s="4"/>
      <c r="X11" s="8"/>
      <c r="Y11" s="8"/>
      <c r="Z11" s="172" t="s">
        <v>191</v>
      </c>
      <c r="AA11" s="172" t="s">
        <v>191</v>
      </c>
      <c r="AB11" s="172" t="s">
        <v>192</v>
      </c>
      <c r="AC11" s="172" t="s">
        <v>193</v>
      </c>
      <c r="AD11" s="172" t="s">
        <v>117</v>
      </c>
      <c r="AE11" s="172" t="s">
        <v>193</v>
      </c>
      <c r="AF11" s="172" t="s">
        <v>193</v>
      </c>
      <c r="AG11" s="172" t="s">
        <v>194</v>
      </c>
      <c r="AH11" s="4"/>
      <c r="AI11" s="4"/>
      <c r="AJ11" s="4"/>
      <c r="AK11" s="4"/>
      <c r="AL11" s="4"/>
      <c r="AM11" s="4"/>
      <c r="AN11" s="4"/>
      <c r="AO11" s="48" t="s">
        <v>195</v>
      </c>
      <c r="AP11" s="258"/>
      <c r="AQ11" s="4"/>
      <c r="AR11" s="48" t="s">
        <v>196</v>
      </c>
      <c r="AS11" s="4"/>
      <c r="AT11" s="4"/>
      <c r="AU11" s="48" t="s">
        <v>197</v>
      </c>
      <c r="AV11" s="4"/>
    </row>
    <row r="12" spans="1:48" ht="12" customHeight="1">
      <c r="A12" s="42">
        <v>8</v>
      </c>
      <c r="B12" s="56" t="str">
        <f>VLOOKUP(A12,Medições!$E$3:$Y$89,4,FALSE)</f>
        <v>3.1</v>
      </c>
      <c r="C12" s="168" t="str">
        <f>VLOOKUP(B12,Cad.RateioConsumo!$B$3:$Q$55,14,FALSE)</f>
        <v>Associação dos Moradores do Residencial Araçagy</v>
      </c>
      <c r="D12" s="168" t="str">
        <f>IF(VLOOKUP(B12,Cad.RateioConsumo!$B$3:$Q$35,3,FALSE)="PF","CPF","CNPJ")</f>
        <v>CNPJ</v>
      </c>
      <c r="E12" s="56" t="str">
        <f>VLOOKUP(B12,Cad.RateioConsumo!$B$3:$Q$35,4,FALSE)</f>
        <v>20.069.500/0001-97</v>
      </c>
      <c r="F12" s="56">
        <f>VLOOKUP(B12,Cad.RateioConsumo!$B$3:$Q$35,5,FALSE)</f>
        <v>3021142432</v>
      </c>
      <c r="G12" s="56" t="str">
        <f>VLOOKUP(B12,Cad.RateioConsumo!$B$3:$Q$35,13,FALSE)</f>
        <v>R. da Agranja , 50 , CP 26 CS 59 PS 1, CEP: 65138-000 Aracagi - Raposa - MA</v>
      </c>
      <c r="H12" s="169" t="str">
        <f>VLOOKUP(A12,Medições!$E$3:$Y$95,7,FALSE)</f>
        <v>10/2025</v>
      </c>
      <c r="I12" s="170">
        <f>VLOOKUP(A12,Medições!$E$3:$Y$95,18,FALSE)</f>
        <v>129.25</v>
      </c>
      <c r="J12" s="169">
        <f>VLOOKUP(Faturas!$B12&amp;Faturas!$H12,Hist.Consum!$B$5:$V$119,11,FALSE)</f>
        <v>45954</v>
      </c>
      <c r="K12" s="40">
        <f>VLOOKUP(A12,Medições!$E$3:$Y$95,3,FALSE)</f>
        <v>3023637013</v>
      </c>
      <c r="L12" s="56" t="str">
        <f>VLOOKUP(Faturas!$A12,Medições!$E$3:$Y$86,2,FALSE)</f>
        <v>Usina 3</v>
      </c>
      <c r="M12" s="57">
        <f>VLOOKUP(Faturas!$A12,Medições!$E$3:$Z$103,11,FALSE)</f>
        <v>240.17</v>
      </c>
      <c r="N12" s="57">
        <f>VLOOKUP(Faturas!$A12,Medições!$E$3:$BA$97,24,FALSE)</f>
        <v>259.69</v>
      </c>
      <c r="O12" s="4"/>
      <c r="P12" s="4"/>
      <c r="Q12" s="4"/>
      <c r="R12" s="5"/>
      <c r="S12" s="173" t="str">
        <f>VLOOKUP(T1,$A$5:$L$77,3,FALSE)</f>
        <v>Patricia Maria Abreu Machado</v>
      </c>
      <c r="T12" s="24"/>
      <c r="U12" s="4"/>
      <c r="V12" s="4"/>
      <c r="W12" s="4"/>
      <c r="X12" s="8"/>
      <c r="Y12" s="8"/>
      <c r="Z12" s="174" t="s">
        <v>198</v>
      </c>
      <c r="AA12" s="174" t="s">
        <v>199</v>
      </c>
      <c r="AB12" s="174" t="s">
        <v>200</v>
      </c>
      <c r="AC12" s="174" t="s">
        <v>201</v>
      </c>
      <c r="AD12" s="174" t="s">
        <v>202</v>
      </c>
      <c r="AE12" s="174" t="s">
        <v>203</v>
      </c>
      <c r="AF12" s="174" t="s">
        <v>204</v>
      </c>
      <c r="AG12" s="174" t="s">
        <v>205</v>
      </c>
      <c r="AH12" s="4"/>
      <c r="AI12" s="4"/>
      <c r="AJ12" s="4"/>
      <c r="AK12" s="4"/>
      <c r="AL12" s="4"/>
      <c r="AM12" s="4"/>
      <c r="AN12" s="4"/>
      <c r="AO12" s="4"/>
      <c r="AP12" s="245"/>
      <c r="AQ12" s="4"/>
      <c r="AR12" s="4"/>
      <c r="AS12" s="24" t="s">
        <v>206</v>
      </c>
      <c r="AT12" s="24"/>
      <c r="AU12" s="4"/>
      <c r="AV12" s="4"/>
    </row>
    <row r="13" spans="1:48" ht="14.25" customHeight="1">
      <c r="A13" s="42">
        <v>9</v>
      </c>
      <c r="B13" s="56" t="str">
        <f>VLOOKUP(A13,Medições!$E$3:$Y$89,4,FALSE)</f>
        <v>2.1</v>
      </c>
      <c r="C13" s="168" t="str">
        <f>VLOOKUP(B13,Cad.RateioConsumo!$B$3:$Q$55,14,FALSE)</f>
        <v>Lucas Medeiros Lima</v>
      </c>
      <c r="D13" s="168" t="str">
        <f>IF(VLOOKUP(B13,Cad.RateioConsumo!$B$3:$Q$35,3,FALSE)="PF","CPF","CNPJ")</f>
        <v>CNPJ</v>
      </c>
      <c r="E13" s="56" t="str">
        <f>VLOOKUP(B13,Cad.RateioConsumo!$B$3:$Q$35,4,FALSE)</f>
        <v>612.634.903-28</v>
      </c>
      <c r="F13" s="56">
        <f>VLOOKUP(B13,Cad.RateioConsumo!$B$3:$Q$35,5,FALSE)</f>
        <v>3002796782</v>
      </c>
      <c r="G13" s="56" t="str">
        <f>VLOOKUP(B13,Cad.RateioConsumo!$B$3:$Q$35,13,FALSE)</f>
        <v>VL ARISTOTELES , S/N , RUA FRANCISCO MARCELINO DE MEDEIROS RUA FRANCISCO MARCELINO DE MEDEIROS CEP: 65728-000 CENTRO - LIMA CAMPOS - MA</v>
      </c>
      <c r="H13" s="169" t="str">
        <f>VLOOKUP(A13,Medições!$E$3:$Y$95,7,FALSE)</f>
        <v>10/2025</v>
      </c>
      <c r="I13" s="170" t="str">
        <f>VLOOKUP(A13,Medições!$E$3:$Y$95,18,FALSE)</f>
        <v/>
      </c>
      <c r="J13" s="169" t="e">
        <f>VLOOKUP(Faturas!$B13&amp;Faturas!$H13,Hist.Consum!$B$5:$V$119,11,FALSE)</f>
        <v>#N/A</v>
      </c>
      <c r="K13" s="40">
        <f>VLOOKUP(A13,Medições!$E$3:$Y$95,3,FALSE)</f>
        <v>3023594470</v>
      </c>
      <c r="L13" s="56" t="str">
        <f>VLOOKUP(Faturas!$A13,Medições!$E$3:$Y$86,2,FALSE)</f>
        <v>Usina 2</v>
      </c>
      <c r="M13" s="57">
        <f>VLOOKUP(Faturas!$A13,Medições!$E$3:$Z$103,11,FALSE)</f>
        <v>1837.17</v>
      </c>
      <c r="N13" s="57">
        <f>VLOOKUP(Faturas!$A13,Medições!$E$3:$BA$97,24,FALSE)</f>
        <v>0</v>
      </c>
      <c r="O13" s="4"/>
      <c r="P13" s="4"/>
      <c r="Q13" s="4"/>
      <c r="R13" s="5"/>
      <c r="S13" s="5" t="str">
        <f>VLOOKUP(T1,$A$5:$L$77,4,FALSE)&amp;": "&amp;VLOOKUP(T1,$A$5:$L$77,5,FALSE)</f>
        <v>CNPJ: 676.211.553-53</v>
      </c>
      <c r="T13" s="4"/>
      <c r="U13" s="4"/>
      <c r="V13" s="4"/>
      <c r="W13" s="4"/>
      <c r="X13" s="8"/>
      <c r="Y13" s="8"/>
      <c r="Z13" s="57">
        <f>VLOOKUP($T$1,Medições!$E$3:$Z$100,12,FALSE)</f>
        <v>100</v>
      </c>
      <c r="AA13" s="175">
        <f>VLOOKUP($T$1,Medições!$E$3:$Z$100,13,FALSE)</f>
        <v>713</v>
      </c>
      <c r="AB13" s="176">
        <f>AD28</f>
        <v>1.1286</v>
      </c>
      <c r="AC13" s="177">
        <f>AA13*AB13</f>
        <v>804.69180000000006</v>
      </c>
      <c r="AD13" s="177" t="str">
        <f>VLOOKUP($T$1,Medições!$E$3:$Z$100,16,FALSE)</f>
        <v>Verde</v>
      </c>
      <c r="AE13" s="178">
        <f>VLOOKUP($T$1,Medições!$E$3:$Z$100,17,FALSE)</f>
        <v>0</v>
      </c>
      <c r="AF13" s="178">
        <f>VLOOKUP($T$1,Medições!$E$3:$Z$100,18,FALSE)</f>
        <v>683.99</v>
      </c>
      <c r="AG13" s="179">
        <f>AF13/(AC13+AE13)-1</f>
        <v>-0.14999755185774233</v>
      </c>
      <c r="AH13" s="4"/>
      <c r="AI13" s="4"/>
      <c r="AJ13" s="4"/>
      <c r="AK13" s="4"/>
      <c r="AL13" s="4"/>
      <c r="AM13" s="4"/>
      <c r="AN13" s="4"/>
      <c r="AO13" s="1" t="s">
        <v>207</v>
      </c>
      <c r="AP13" s="259"/>
      <c r="AQ13" s="180">
        <f>Z13</f>
        <v>100</v>
      </c>
      <c r="AR13" s="181">
        <f t="shared" ref="AR13" si="0">AQ13*(1-AS13)</f>
        <v>85.000244814225766</v>
      </c>
      <c r="AS13" s="182">
        <f>-AG13</f>
        <v>0.14999755185774233</v>
      </c>
      <c r="AT13" s="147"/>
      <c r="AU13" s="1" t="s">
        <v>150</v>
      </c>
      <c r="AV13" s="28">
        <f t="shared" ref="AV13" si="1">AR13</f>
        <v>85.000244814225766</v>
      </c>
    </row>
    <row r="14" spans="1:48" ht="14.25" customHeight="1">
      <c r="A14" s="42">
        <v>10</v>
      </c>
      <c r="B14" s="56" t="str">
        <f>VLOOKUP(A14,Medições!$E$3:$Y$89,4,FALSE)</f>
        <v>3.7</v>
      </c>
      <c r="C14" s="168" t="str">
        <f>VLOOKUP(B14,Cad.RateioConsumo!$B$3:$Q$55,14,FALSE)</f>
        <v>Fatima Abdel Hafiz Khalifa Cavalcanti</v>
      </c>
      <c r="D14" s="168" t="str">
        <f>IF(VLOOKUP(B14,Cad.RateioConsumo!$B$3:$Q$35,3,FALSE)="PF","CPF","CNPJ")</f>
        <v>CNPJ</v>
      </c>
      <c r="E14" s="56" t="str">
        <f>VLOOKUP(B14,Cad.RateioConsumo!$B$3:$Q$35,4,FALSE)</f>
        <v>840.670.553-15</v>
      </c>
      <c r="F14" s="56">
        <f>VLOOKUP(B14,Cad.RateioConsumo!$B$3:$Q$35,5,FALSE)</f>
        <v>38398091</v>
      </c>
      <c r="G14" s="56" t="str">
        <f>VLOOKUP(B14,Cad.RateioConsumo!$B$3:$Q$35,13,FALSE)</f>
        <v>Rua Nova nº63, Anil, São Luis, MA CEP: 65046-160</v>
      </c>
      <c r="H14" s="169" t="str">
        <f>VLOOKUP(A14,Medições!$E$3:$Y$95,7,FALSE)</f>
        <v>11/2025</v>
      </c>
      <c r="I14" s="170">
        <f>VLOOKUP(A14,Medições!$E$3:$Y$95,18,FALSE)</f>
        <v>13.14</v>
      </c>
      <c r="J14" s="169">
        <f>VLOOKUP(Faturas!$B14&amp;Faturas!$H14,Hist.Consum!$B$5:$V$119,11,FALSE)</f>
        <v>45997</v>
      </c>
      <c r="K14" s="40">
        <f>VLOOKUP(A14,Medições!$E$3:$Y$95,3,FALSE)</f>
        <v>3023637013</v>
      </c>
      <c r="L14" s="56" t="str">
        <f>VLOOKUP(Faturas!$A14,Medições!$E$3:$Y$86,2,FALSE)</f>
        <v>Usina 3</v>
      </c>
      <c r="M14" s="57">
        <f>VLOOKUP(Faturas!$A14,Medições!$E$3:$Z$103,11,FALSE)</f>
        <v>12.58</v>
      </c>
      <c r="N14" s="57">
        <f>VLOOKUP(Faturas!$A14,Medições!$E$3:$BA$97,24,FALSE)</f>
        <v>12.57</v>
      </c>
      <c r="O14" s="4"/>
      <c r="P14" s="4"/>
      <c r="Q14" s="4"/>
      <c r="R14" s="5"/>
      <c r="S14" s="5" t="str">
        <f>"Conta contrato: "&amp;VLOOKUP($T$1,$A$5:$L$129,6)</f>
        <v>Conta contrato: 3006793931</v>
      </c>
      <c r="T14" s="4"/>
      <c r="U14" s="4"/>
      <c r="V14" s="4"/>
      <c r="W14" s="4"/>
      <c r="X14" s="8"/>
      <c r="Y14" s="8"/>
      <c r="Z14" s="4"/>
      <c r="AA14" s="4"/>
      <c r="AB14" s="4"/>
      <c r="AC14" s="250"/>
      <c r="AD14" s="4"/>
      <c r="AE14" s="27"/>
      <c r="AF14" s="250"/>
      <c r="AG14" s="4"/>
      <c r="AH14" s="4"/>
      <c r="AI14" s="4"/>
      <c r="AJ14" s="4"/>
      <c r="AK14" s="4"/>
      <c r="AL14" s="4"/>
      <c r="AM14" s="4"/>
      <c r="AN14" s="4"/>
      <c r="AO14" s="5" t="s">
        <v>283</v>
      </c>
      <c r="AP14" s="245"/>
      <c r="AQ14" s="183">
        <f>AA13</f>
        <v>713</v>
      </c>
      <c r="AR14" s="184" t="e">
        <f>AQ14*(1-AS14)</f>
        <v>#VALUE!</v>
      </c>
      <c r="AS14" s="185" t="e">
        <f>-AG12</f>
        <v>#VALUE!</v>
      </c>
      <c r="AT14" s="147"/>
      <c r="AU14" s="5" t="s">
        <v>208</v>
      </c>
      <c r="AV14" s="32">
        <f>AR15</f>
        <v>0</v>
      </c>
    </row>
    <row r="15" spans="1:48" ht="18" customHeight="1">
      <c r="A15" s="42">
        <v>11</v>
      </c>
      <c r="B15" s="56" t="str">
        <f>VLOOKUP(A15,Medições!$E$3:$Y$89,4,FALSE)</f>
        <v>3.6</v>
      </c>
      <c r="C15" s="168" t="str">
        <f>VLOOKUP(B15,Cad.RateioConsumo!$B$3:$Q$55,14,FALSE)</f>
        <v>Patricia Maria Abreu Machado</v>
      </c>
      <c r="D15" s="168" t="str">
        <f>IF(VLOOKUP(B15,Cad.RateioConsumo!$B$3:$Q$35,3,FALSE)="PF","CPF","CNPJ")</f>
        <v>CNPJ</v>
      </c>
      <c r="E15" s="56" t="str">
        <f>VLOOKUP(B15,Cad.RateioConsumo!$B$3:$Q$35,4,FALSE)</f>
        <v>676.211.553-53</v>
      </c>
      <c r="F15" s="56">
        <f>VLOOKUP(B15,Cad.RateioConsumo!$B$3:$Q$35,5,FALSE)</f>
        <v>3006793931</v>
      </c>
      <c r="G15" s="56" t="str">
        <f>VLOOKUP(B15,Cad.RateioConsumo!$B$3:$Q$35,13,FALSE)</f>
        <v>R. MARIA F REIS , 20 , QD B CONJ BASA QD B CONJ BASA CEP: 65010-000 SAO FRANCISCO, na cidade de São Luís, Estado do Maranhão</v>
      </c>
      <c r="H15" s="169" t="str">
        <f>VLOOKUP(A15,Medições!$E$3:$Y$95,7,FALSE)</f>
        <v>11/2025</v>
      </c>
      <c r="I15" s="170">
        <f>VLOOKUP(A15,Medições!$E$3:$Y$95,18,FALSE)</f>
        <v>10.06</v>
      </c>
      <c r="J15" s="169">
        <f>VLOOKUP(Faturas!$B15&amp;Faturas!$H15,Hist.Consum!$B$5:$V$119,11,FALSE)</f>
        <v>45965</v>
      </c>
      <c r="K15" s="40">
        <f>VLOOKUP(A15,Medições!$E$3:$Y$95,3,FALSE)</f>
        <v>3023637013</v>
      </c>
      <c r="L15" s="56" t="str">
        <f>VLOOKUP(Faturas!$A15,Medições!$E$3:$Y$86,2,FALSE)</f>
        <v>Usina 3</v>
      </c>
      <c r="M15" s="57">
        <f>VLOOKUP(Faturas!$A15,Medições!$E$3:$Z$103,11,FALSE)</f>
        <v>9.64</v>
      </c>
      <c r="N15" s="57">
        <f>VLOOKUP(Faturas!$A15,Medições!$E$3:$BA$97,24,FALSE)</f>
        <v>9.64</v>
      </c>
      <c r="O15" s="4"/>
      <c r="P15" s="4"/>
      <c r="Q15" s="4"/>
      <c r="R15" s="5"/>
      <c r="S15" s="18"/>
      <c r="T15" s="19"/>
      <c r="U15" s="19"/>
      <c r="V15" s="19"/>
      <c r="W15" s="19"/>
      <c r="X15" s="25"/>
      <c r="Y15" s="8"/>
      <c r="Z15" s="48" t="s">
        <v>209</v>
      </c>
      <c r="AA15" s="4"/>
      <c r="AB15" s="4"/>
      <c r="AC15" s="4"/>
      <c r="AD15" s="4"/>
      <c r="AE15" s="27"/>
      <c r="AF15" s="4"/>
      <c r="AG15" s="4"/>
      <c r="AH15" s="4"/>
      <c r="AI15" s="48" t="s">
        <v>210</v>
      </c>
      <c r="AJ15" s="4"/>
      <c r="AK15" s="4"/>
      <c r="AL15" s="4"/>
      <c r="AM15" s="4"/>
      <c r="AN15" s="4"/>
      <c r="AO15" s="5" t="s">
        <v>208</v>
      </c>
      <c r="AP15" s="245"/>
      <c r="AQ15" s="183">
        <f>AE13</f>
        <v>0</v>
      </c>
      <c r="AR15" s="184">
        <f>AQ15*(1-AS15)</f>
        <v>0</v>
      </c>
      <c r="AS15" s="185">
        <f>-AG13</f>
        <v>0.14999755185774233</v>
      </c>
      <c r="AT15" s="4"/>
      <c r="AU15" s="5" t="s">
        <v>211</v>
      </c>
      <c r="AV15" s="186">
        <f>-AV23</f>
        <v>0</v>
      </c>
    </row>
    <row r="16" spans="1:48" ht="14.25" customHeight="1">
      <c r="A16" s="42">
        <v>12</v>
      </c>
      <c r="B16" s="56" t="str">
        <f>VLOOKUP(A16,Medições!$E$3:$Y$89,4,FALSE)</f>
        <v>3.5</v>
      </c>
      <c r="C16" s="168" t="str">
        <f>VLOOKUP(B16,Cad.RateioConsumo!$B$3:$Q$55,14,FALSE)</f>
        <v>João Carlos Pereira Dutra Filho</v>
      </c>
      <c r="D16" s="168" t="str">
        <f>IF(VLOOKUP(B16,Cad.RateioConsumo!$B$3:$Q$35,3,FALSE)="PF","CPF","CNPJ")</f>
        <v>CNPJ</v>
      </c>
      <c r="E16" s="56" t="str">
        <f>VLOOKUP(B16,Cad.RateioConsumo!$B$3:$Q$35,4,FALSE)</f>
        <v>064837473-49</v>
      </c>
      <c r="F16" s="56">
        <f>VLOOKUP(B16,Cad.RateioConsumo!$B$3:$Q$35,5,FALSE)</f>
        <v>1163310</v>
      </c>
      <c r="G16" s="56" t="str">
        <f>VLOOKUP(B16,Cad.RateioConsumo!$B$3:$Q$35,13,FALSE)</f>
        <v>R. 13 , 31 , QD 7 QD 7 CEP: 65010-000 PLN - VINHAIS II - SAO LUIS - MA</v>
      </c>
      <c r="H16" s="169" t="str">
        <f>VLOOKUP(A16,Medições!$E$3:$Y$95,7,FALSE)</f>
        <v>11/2025</v>
      </c>
      <c r="I16" s="170">
        <f>VLOOKUP(A16,Medições!$E$3:$Y$95,18,FALSE)</f>
        <v>10.98</v>
      </c>
      <c r="J16" s="169">
        <f>VLOOKUP(Faturas!$B16&amp;Faturas!$H16,Hist.Consum!$B$5:$V$119,11,FALSE)</f>
        <v>45967</v>
      </c>
      <c r="K16" s="40">
        <f>VLOOKUP(A16,Medições!$E$3:$Y$95,3,FALSE)</f>
        <v>3023637013</v>
      </c>
      <c r="L16" s="56" t="str">
        <f>VLOOKUP(Faturas!$A16,Medições!$E$3:$Y$86,2,FALSE)</f>
        <v>Usina 3</v>
      </c>
      <c r="M16" s="57">
        <f>VLOOKUP(Faturas!$A16,Medições!$E$3:$Z$103,11,FALSE)</f>
        <v>10.53</v>
      </c>
      <c r="N16" s="57">
        <f>VLOOKUP(Faturas!$A16,Medições!$E$3:$BA$97,24,FALSE)</f>
        <v>10.52</v>
      </c>
      <c r="O16" s="4"/>
      <c r="P16" s="4"/>
      <c r="Q16" s="4"/>
      <c r="R16" s="5"/>
      <c r="S16" s="299"/>
      <c r="T16" s="299" t="s">
        <v>13</v>
      </c>
      <c r="U16" s="299" t="s">
        <v>14</v>
      </c>
      <c r="V16" s="301" t="s">
        <v>15</v>
      </c>
      <c r="W16" s="302"/>
      <c r="X16" s="303"/>
      <c r="Y16" s="8"/>
      <c r="Z16" s="304" t="s">
        <v>212</v>
      </c>
      <c r="AA16" s="304" t="s">
        <v>213</v>
      </c>
      <c r="AB16" s="316" t="s">
        <v>214</v>
      </c>
      <c r="AC16" s="317"/>
      <c r="AD16" s="316" t="s">
        <v>215</v>
      </c>
      <c r="AE16" s="317"/>
      <c r="AF16" s="4"/>
      <c r="AG16" s="4"/>
      <c r="AH16" s="4"/>
      <c r="AI16" s="56" t="s">
        <v>216</v>
      </c>
      <c r="AJ16" s="56" t="s">
        <v>217</v>
      </c>
      <c r="AK16" s="56"/>
      <c r="AL16" s="4"/>
      <c r="AM16" s="4"/>
      <c r="AN16" s="4"/>
      <c r="AO16" s="5"/>
      <c r="AP16" s="245"/>
      <c r="AQ16" s="4"/>
      <c r="AR16" s="5"/>
      <c r="AS16" s="8"/>
      <c r="AT16" s="4"/>
      <c r="AU16" s="5" t="s">
        <v>218</v>
      </c>
      <c r="AV16" s="36">
        <f>SUM(AV13:AV15)</f>
        <v>85.000244814225766</v>
      </c>
    </row>
    <row r="17" spans="1:48" ht="14.25" customHeight="1">
      <c r="A17" s="42">
        <v>13</v>
      </c>
      <c r="B17" s="56" t="str">
        <f>VLOOKUP(A17,Medições!$E$3:$Y$89,4,FALSE)</f>
        <v>3.4</v>
      </c>
      <c r="C17" s="168" t="str">
        <f>VLOOKUP(B17,Cad.RateioConsumo!$B$3:$Q$55,14,FALSE)</f>
        <v>Antonio Jose Souza Filho</v>
      </c>
      <c r="D17" s="168" t="str">
        <f>IF(VLOOKUP(B17,Cad.RateioConsumo!$B$3:$Q$35,3,FALSE)="PF","CPF","CNPJ")</f>
        <v>CNPJ</v>
      </c>
      <c r="E17" s="56" t="str">
        <f>VLOOKUP(B17,Cad.RateioConsumo!$B$3:$Q$35,4,FALSE)</f>
        <v>682.957.583-49</v>
      </c>
      <c r="F17" s="56">
        <f>VLOOKUP(B17,Cad.RateioConsumo!$B$3:$Q$35,5,FALSE)</f>
        <v>3007625048</v>
      </c>
      <c r="G17" s="56" t="str">
        <f>VLOOKUP(B17,Cad.RateioConsumo!$B$3:$Q$35,13,FALSE)</f>
        <v>R. 03 , 23 , LOT ALTO DO JAGUAREMA QD 05 LOT - ALTO DO JAGUAREMA QD 05 CEP: 65110-000 ARACAGY</v>
      </c>
      <c r="H17" s="169" t="str">
        <f>VLOOKUP(A17,Medições!$E$3:$Y$95,7,FALSE)</f>
        <v>11/2025</v>
      </c>
      <c r="I17" s="170">
        <f>VLOOKUP(A17,Medições!$E$3:$Y$95,18,FALSE)</f>
        <v>38.31</v>
      </c>
      <c r="J17" s="169">
        <f>VLOOKUP(Faturas!$B17&amp;Faturas!$H17,Hist.Consum!$B$5:$V$119,11,FALSE)</f>
        <v>45985</v>
      </c>
      <c r="K17" s="40">
        <f>VLOOKUP(A17,Medições!$E$3:$Y$95,3,FALSE)</f>
        <v>3023637013</v>
      </c>
      <c r="L17" s="56" t="str">
        <f>VLOOKUP(Faturas!$A17,Medições!$E$3:$Y$86,2,FALSE)</f>
        <v>Usina 3</v>
      </c>
      <c r="M17" s="57">
        <f>VLOOKUP(Faturas!$A17,Medições!$E$3:$Z$103,11,FALSE)</f>
        <v>5.18</v>
      </c>
      <c r="N17" s="57">
        <f>VLOOKUP(Faturas!$A17,Medições!$E$3:$BA$97,24,FALSE)</f>
        <v>978.65</v>
      </c>
      <c r="O17" s="4"/>
      <c r="P17" s="4"/>
      <c r="Q17" s="4"/>
      <c r="R17" s="5"/>
      <c r="S17" s="300"/>
      <c r="T17" s="300"/>
      <c r="U17" s="300"/>
      <c r="V17" s="189" t="s">
        <v>16</v>
      </c>
      <c r="W17" s="190" t="s">
        <v>17</v>
      </c>
      <c r="X17" s="189" t="s">
        <v>18</v>
      </c>
      <c r="Y17" s="8"/>
      <c r="Z17" s="300"/>
      <c r="AA17" s="300"/>
      <c r="AB17" s="318"/>
      <c r="AC17" s="319"/>
      <c r="AD17" s="318"/>
      <c r="AE17" s="319"/>
      <c r="AF17" s="4"/>
      <c r="AG17" s="4"/>
      <c r="AH17" s="4"/>
      <c r="AI17" s="57" t="e">
        <f>VLOOKUP(T1,$A$4:$N$29,14,FALSE)</f>
        <v>#N/A</v>
      </c>
      <c r="AJ17" s="56"/>
      <c r="AK17" s="56"/>
      <c r="AL17" s="4"/>
      <c r="AM17" s="4"/>
      <c r="AN17" s="4"/>
      <c r="AO17" s="23" t="s">
        <v>18</v>
      </c>
      <c r="AP17" s="260"/>
      <c r="AQ17" s="187">
        <f>AQ13+AQ15</f>
        <v>100</v>
      </c>
      <c r="AR17" s="188">
        <f>AR13+AR15</f>
        <v>85.000244814225766</v>
      </c>
      <c r="AS17" s="8"/>
      <c r="AT17" s="4"/>
      <c r="AU17" s="5"/>
      <c r="AV17" s="8"/>
    </row>
    <row r="18" spans="1:48" ht="14.25" customHeight="1">
      <c r="A18" s="42">
        <v>14</v>
      </c>
      <c r="B18" s="56" t="str">
        <f>VLOOKUP(A18,Medições!$E$3:$Y$89,4,FALSE)</f>
        <v>3.3</v>
      </c>
      <c r="C18" s="168" t="str">
        <f>VLOOKUP(B18,Cad.RateioConsumo!$B$3:$Q$55,14,FALSE)</f>
        <v>Associação dos Moradores do Residencial Araçagy</v>
      </c>
      <c r="D18" s="168" t="str">
        <f>IF(VLOOKUP(B18,Cad.RateioConsumo!$B$3:$Q$35,3,FALSE)="PF","CPF","CNPJ")</f>
        <v>CNPJ</v>
      </c>
      <c r="E18" s="56" t="str">
        <f>VLOOKUP(B18,Cad.RateioConsumo!$B$3:$Q$35,4,FALSE)</f>
        <v>20.069.500/0001-97</v>
      </c>
      <c r="F18" s="56">
        <f>VLOOKUP(B18,Cad.RateioConsumo!$B$3:$Q$35,5,FALSE)</f>
        <v>3021150559</v>
      </c>
      <c r="G18" s="56" t="str">
        <f>VLOOKUP(B18,Cad.RateioConsumo!$B$3:$Q$35,13,FALSE)</f>
        <v>R. Granja , s/n , CP 26 CS 36 PS 1, cep: 65138-000 Aracagi - Raposa - MA,</v>
      </c>
      <c r="H18" s="169" t="str">
        <f>VLOOKUP(A18,Medições!$E$3:$Y$95,7,FALSE)</f>
        <v>11/2025</v>
      </c>
      <c r="I18" s="170">
        <f>VLOOKUP(A18,Medições!$E$3:$Y$95,18,FALSE)</f>
        <v>1335.03</v>
      </c>
      <c r="J18" s="169">
        <f>VLOOKUP(Faturas!$B18&amp;Faturas!$H18,Hist.Consum!$B$5:$V$119,11,FALSE)</f>
        <v>45985</v>
      </c>
      <c r="K18" s="40">
        <f>VLOOKUP(A18,Medições!$E$3:$Y$95,3,FALSE)</f>
        <v>3023637013</v>
      </c>
      <c r="L18" s="56" t="str">
        <f>VLOOKUP(Faturas!$A18,Medições!$E$3:$Y$86,2,FALSE)</f>
        <v>Usina 3</v>
      </c>
      <c r="M18" s="57">
        <f>VLOOKUP(Faturas!$A18,Medições!$E$3:$Z$103,11,FALSE)</f>
        <v>18.600000000000001</v>
      </c>
      <c r="N18" s="57">
        <f>VLOOKUP(Faturas!$A18,Medições!$E$3:$BA$97,24,FALSE)</f>
        <v>4885.97</v>
      </c>
      <c r="O18" s="4"/>
      <c r="P18" s="4"/>
      <c r="Q18" s="4"/>
      <c r="R18" s="5"/>
      <c r="S18" s="1"/>
      <c r="T18" s="26">
        <v>1</v>
      </c>
      <c r="U18" s="2" t="s">
        <v>19</v>
      </c>
      <c r="V18" s="191">
        <v>1</v>
      </c>
      <c r="W18" s="27">
        <f>VLOOKUP($T$1,$A$4:$L$45,9,FALSE)</f>
        <v>683.99</v>
      </c>
      <c r="X18" s="28">
        <f>V18*W18</f>
        <v>683.99</v>
      </c>
      <c r="Y18" s="8"/>
      <c r="Z18" s="192" t="s">
        <v>191</v>
      </c>
      <c r="AA18" s="192" t="s">
        <v>191</v>
      </c>
      <c r="AB18" s="320" t="s">
        <v>191</v>
      </c>
      <c r="AC18" s="303"/>
      <c r="AD18" s="320" t="s">
        <v>191</v>
      </c>
      <c r="AE18" s="303"/>
      <c r="AF18" s="4"/>
      <c r="AG18" s="4"/>
      <c r="AH18" s="4"/>
      <c r="AI18" s="4"/>
      <c r="AJ18" s="4"/>
      <c r="AK18" s="4"/>
      <c r="AL18" s="4"/>
      <c r="AM18" s="4"/>
      <c r="AN18" s="4"/>
      <c r="AO18" s="5"/>
      <c r="AP18" s="245"/>
      <c r="AQ18" s="4"/>
      <c r="AR18" s="5"/>
      <c r="AS18" s="8"/>
      <c r="AT18" s="4"/>
      <c r="AU18" s="38" t="s">
        <v>220</v>
      </c>
      <c r="AV18" s="8"/>
    </row>
    <row r="19" spans="1:48" ht="14.25" customHeight="1">
      <c r="A19" s="42">
        <v>15</v>
      </c>
      <c r="B19" s="56" t="str">
        <f>VLOOKUP(A19,Medições!$E$3:$Y$89,4,FALSE)</f>
        <v>3.2</v>
      </c>
      <c r="C19" s="168" t="str">
        <f>VLOOKUP(B19,Cad.RateioConsumo!$B$3:$Q$55,14,FALSE)</f>
        <v>Associação dos Moradores do Residencial Araçagy</v>
      </c>
      <c r="D19" s="168" t="str">
        <f>IF(VLOOKUP(B19,Cad.RateioConsumo!$B$3:$Q$35,3,FALSE)="PF","CPF","CNPJ")</f>
        <v>CNPJ</v>
      </c>
      <c r="E19" s="56" t="str">
        <f>VLOOKUP(B19,Cad.RateioConsumo!$B$3:$Q$35,4,FALSE)</f>
        <v>20.069.500/0001-97</v>
      </c>
      <c r="F19" s="56">
        <f>VLOOKUP(B19,Cad.RateioConsumo!$B$3:$Q$35,5,FALSE)</f>
        <v>3021149593</v>
      </c>
      <c r="G19" s="56" t="str">
        <f>VLOOKUP(B19,Cad.RateioConsumo!$B$3:$Q$35,13,FALSE)</f>
        <v>R. da Agranja , 50 , CP 26 CS 36 PS 4, cep: 65138-000 Aracagi - Raposa - MA</v>
      </c>
      <c r="H19" s="169" t="str">
        <f>VLOOKUP(A19,Medições!$E$3:$Y$95,7,FALSE)</f>
        <v>11/2025</v>
      </c>
      <c r="I19" s="170">
        <f>VLOOKUP(A19,Medições!$E$3:$Y$95,18,FALSE)</f>
        <v>9.5299999999999994</v>
      </c>
      <c r="J19" s="169">
        <f>VLOOKUP(Faturas!$B19&amp;Faturas!$H19,Hist.Consum!$B$5:$V$119,11,FALSE)</f>
        <v>45985</v>
      </c>
      <c r="K19" s="40">
        <f>VLOOKUP(A19,Medições!$E$3:$Y$95,3,FALSE)</f>
        <v>3023637013</v>
      </c>
      <c r="L19" s="56" t="str">
        <f>VLOOKUP(Faturas!$A19,Medições!$E$3:$Y$86,2,FALSE)</f>
        <v>Usina 3</v>
      </c>
      <c r="M19" s="57">
        <f>VLOOKUP(Faturas!$A19,Medições!$E$3:$Z$103,11,FALSE)</f>
        <v>9.1199999999999992</v>
      </c>
      <c r="N19" s="57">
        <f>VLOOKUP(Faturas!$A19,Medições!$E$3:$BA$97,24,FALSE)</f>
        <v>1724.12</v>
      </c>
      <c r="O19" s="4"/>
      <c r="P19" s="4"/>
      <c r="Q19" s="4"/>
      <c r="R19" s="5"/>
      <c r="S19" s="29"/>
      <c r="T19" s="193"/>
      <c r="U19" s="30"/>
      <c r="V19" s="34"/>
      <c r="W19" s="27"/>
      <c r="X19" s="32"/>
      <c r="Y19" s="8"/>
      <c r="Z19" s="57">
        <f>VLOOKUP($T$1,Medições!$E$3:$Z$97,11,FALSE)</f>
        <v>792.32</v>
      </c>
      <c r="AA19" s="57">
        <f>AA13</f>
        <v>713</v>
      </c>
      <c r="AB19" s="321">
        <f>Z19-AA19</f>
        <v>79.32000000000005</v>
      </c>
      <c r="AC19" s="303"/>
      <c r="AD19" s="321">
        <f>VLOOKUP(T1,Medições!$E$3:$Z$103,21,FALSE)</f>
        <v>158.6400000000001</v>
      </c>
      <c r="AE19" s="303"/>
      <c r="AF19" s="4"/>
      <c r="AG19" s="4"/>
      <c r="AH19" s="4"/>
      <c r="AI19" s="4"/>
      <c r="AJ19" s="4"/>
      <c r="AK19" s="4"/>
      <c r="AL19" s="4"/>
      <c r="AM19" s="4"/>
      <c r="AN19" s="4"/>
      <c r="AO19" s="38" t="s">
        <v>219</v>
      </c>
      <c r="AP19" s="261"/>
      <c r="AQ19" s="4"/>
      <c r="AR19" s="5"/>
      <c r="AS19" s="8"/>
      <c r="AT19" s="4"/>
      <c r="AU19" s="5" t="str">
        <f>AO20</f>
        <v>Cip-Ilum Pub Pref Munic</v>
      </c>
      <c r="AV19" s="186">
        <f>AQ20</f>
        <v>102.58</v>
      </c>
    </row>
    <row r="20" spans="1:48" ht="14.25" customHeight="1">
      <c r="A20" s="42">
        <v>16</v>
      </c>
      <c r="B20" s="56" t="str">
        <f>VLOOKUP(A20,Medições!$E$3:$Y$89,4,FALSE)</f>
        <v>3.1</v>
      </c>
      <c r="C20" s="168" t="str">
        <f>VLOOKUP(B20,Cad.RateioConsumo!$B$3:$Q$55,14,FALSE)</f>
        <v>Associação dos Moradores do Residencial Araçagy</v>
      </c>
      <c r="D20" s="168" t="str">
        <f>IF(VLOOKUP(B20,Cad.RateioConsumo!$B$3:$Q$35,3,FALSE)="PF","CPF","CNPJ")</f>
        <v>CNPJ</v>
      </c>
      <c r="E20" s="56" t="str">
        <f>VLOOKUP(B20,Cad.RateioConsumo!$B$3:$Q$35,4,FALSE)</f>
        <v>20.069.500/0001-97</v>
      </c>
      <c r="F20" s="56">
        <f>VLOOKUP(B20,Cad.RateioConsumo!$B$3:$Q$35,5,FALSE)</f>
        <v>3021142432</v>
      </c>
      <c r="G20" s="56" t="str">
        <f>VLOOKUP(B20,Cad.RateioConsumo!$B$3:$Q$35,13,FALSE)</f>
        <v>R. da Agranja , 50 , CP 26 CS 59 PS 1, CEP: 65138-000 Aracagi - Raposa - MA</v>
      </c>
      <c r="H20" s="169" t="str">
        <f>VLOOKUP(A20,Medições!$E$3:$Y$95,7,FALSE)</f>
        <v>11/2025</v>
      </c>
      <c r="I20" s="170">
        <f>VLOOKUP(A20,Medições!$E$3:$Y$95,18,FALSE)</f>
        <v>163.94</v>
      </c>
      <c r="J20" s="169">
        <f>VLOOKUP(Faturas!$B20&amp;Faturas!$H20,Hist.Consum!$B$5:$V$119,11,FALSE)</f>
        <v>45985</v>
      </c>
      <c r="K20" s="40">
        <f>VLOOKUP(A20,Medições!$E$3:$Y$95,3,FALSE)</f>
        <v>3023637013</v>
      </c>
      <c r="L20" s="56" t="str">
        <f>VLOOKUP(Faturas!$A20,Medições!$E$3:$Y$86,2,FALSE)</f>
        <v>Usina 3</v>
      </c>
      <c r="M20" s="57">
        <f>VLOOKUP(Faturas!$A20,Medições!$E$3:$Z$103,11,FALSE)</f>
        <v>2.5499999999999998</v>
      </c>
      <c r="N20" s="57">
        <f>VLOOKUP(Faturas!$A20,Medições!$E$3:$BA$97,24,FALSE)</f>
        <v>416.5</v>
      </c>
      <c r="O20" s="4"/>
      <c r="P20" s="4"/>
      <c r="Q20" s="4"/>
      <c r="R20" s="5"/>
      <c r="S20" s="29"/>
      <c r="T20" s="30"/>
      <c r="U20" s="4"/>
      <c r="V20" s="30"/>
      <c r="W20" s="31"/>
      <c r="X20" s="186"/>
      <c r="Y20" s="8"/>
      <c r="Z20" s="4"/>
      <c r="AA20" s="4"/>
      <c r="AB20" s="4"/>
      <c r="AC20" s="4"/>
      <c r="AD20" s="4"/>
      <c r="AE20" s="27"/>
      <c r="AF20" s="4"/>
      <c r="AG20" s="4"/>
      <c r="AH20" s="4"/>
      <c r="AI20" s="4"/>
      <c r="AJ20" s="4"/>
      <c r="AK20" s="4"/>
      <c r="AL20" s="4"/>
      <c r="AM20" s="4"/>
      <c r="AN20" s="4"/>
      <c r="AO20" s="5" t="s">
        <v>221</v>
      </c>
      <c r="AP20" s="245"/>
      <c r="AQ20" s="4">
        <v>102.58</v>
      </c>
      <c r="AR20" s="5">
        <f t="shared" ref="AR20:AR23" si="2">AQ20</f>
        <v>102.58</v>
      </c>
      <c r="AS20" s="8"/>
      <c r="AT20" s="4"/>
      <c r="AU20" s="5" t="str">
        <f>AO21</f>
        <v xml:space="preserve">Multa </v>
      </c>
      <c r="AV20" s="186">
        <f>AQ21</f>
        <v>40.32</v>
      </c>
    </row>
    <row r="21" spans="1:48" ht="14.25" customHeight="1">
      <c r="A21" s="42">
        <v>17</v>
      </c>
      <c r="B21" s="56" t="str">
        <f>VLOOKUP(A21,Medições!$E$3:$Y$89,4,FALSE)</f>
        <v>2.2</v>
      </c>
      <c r="C21" s="168" t="str">
        <f>VLOOKUP(B21,Cad.RateioConsumo!$B$3:$Q$55,14,FALSE)</f>
        <v>SORRISO SAUDE ODONTOLOGIA LTDA</v>
      </c>
      <c r="D21" s="168" t="str">
        <f>IF(VLOOKUP(B21,Cad.RateioConsumo!$B$3:$Q$35,3,FALSE)="PF","CPF","CNPJ")</f>
        <v>CNPJ</v>
      </c>
      <c r="E21" s="56" t="str">
        <f>VLOOKUP(B21,Cad.RateioConsumo!$B$3:$Q$35,4,FALSE)</f>
        <v>60.080.581/0001-40</v>
      </c>
      <c r="F21" s="56">
        <f>VLOOKUP(B21,Cad.RateioConsumo!$B$3:$Q$35,5,FALSE)</f>
        <v>3022893768</v>
      </c>
      <c r="G21" s="56" t="str">
        <f>VLOOKUP(B21,Cad.RateioConsumo!$B$3:$Q$35,13,FALSE)</f>
        <v>AV RAIMUNDO CORREIA DA SILVA , 1346 , B B CEP: 65633-641 CIDADE NOVA - TIMON - MA</v>
      </c>
      <c r="H21" s="169" t="str">
        <f>VLOOKUP(A21,Medições!$E$3:$Y$95,7,FALSE)</f>
        <v>11/2025</v>
      </c>
      <c r="I21" s="170">
        <f>VLOOKUP(A21,Medições!$E$3:$Y$95,18,FALSE)</f>
        <v>920.82</v>
      </c>
      <c r="J21" s="169">
        <v>45989</v>
      </c>
      <c r="K21" s="40">
        <f>VLOOKUP(A21,Medições!$E$3:$Y$95,3,FALSE)</f>
        <v>3023594470</v>
      </c>
      <c r="L21" s="56" t="str">
        <f>VLOOKUP(Faturas!$A21,Medições!$E$3:$Y$86,2,FALSE)</f>
        <v>Usina 2</v>
      </c>
      <c r="M21" s="57">
        <f>VLOOKUP(Faturas!$A21,Medições!$E$3:$Z$103,11,FALSE)</f>
        <v>1042.76</v>
      </c>
      <c r="N21" s="57">
        <f>VLOOKUP(Faturas!$A21,Medições!$E$3:$BA$97,24,FALSE)</f>
        <v>0</v>
      </c>
      <c r="O21" s="4"/>
      <c r="P21" s="4"/>
      <c r="Q21" s="4"/>
      <c r="R21" s="5"/>
      <c r="S21" s="29"/>
      <c r="T21" s="30"/>
      <c r="U21" s="4"/>
      <c r="V21" s="30"/>
      <c r="W21" s="31"/>
      <c r="X21" s="186"/>
      <c r="Y21" s="8"/>
      <c r="Z21" s="4"/>
      <c r="AA21" s="4"/>
      <c r="AB21" s="4"/>
      <c r="AC21" s="4"/>
      <c r="AD21" s="4"/>
      <c r="AE21" s="27"/>
      <c r="AF21" s="4"/>
      <c r="AG21" s="4"/>
      <c r="AH21" s="4"/>
      <c r="AI21" s="4"/>
      <c r="AJ21" s="4"/>
      <c r="AK21" s="4"/>
      <c r="AL21" s="4"/>
      <c r="AM21" s="4"/>
      <c r="AN21" s="4"/>
      <c r="AO21" s="5" t="s">
        <v>222</v>
      </c>
      <c r="AP21" s="245"/>
      <c r="AQ21" s="4">
        <v>40.32</v>
      </c>
      <c r="AR21" s="5">
        <f t="shared" si="2"/>
        <v>40.32</v>
      </c>
      <c r="AS21" s="8"/>
      <c r="AT21" s="4"/>
      <c r="AU21" s="5" t="str">
        <f>AO22</f>
        <v xml:space="preserve">Correção Monetária </v>
      </c>
      <c r="AV21" s="186">
        <f>AQ22</f>
        <v>5.71</v>
      </c>
    </row>
    <row r="22" spans="1:48" ht="14.25" customHeight="1">
      <c r="A22" s="42">
        <v>18</v>
      </c>
      <c r="B22" s="56" t="str">
        <f>VLOOKUP(A22,Medições!$E$3:$Y$89,4,FALSE)</f>
        <v>2.1</v>
      </c>
      <c r="C22" s="168" t="str">
        <f>VLOOKUP(B22,Cad.RateioConsumo!$B$3:$Q$55,14,FALSE)</f>
        <v>Lucas Medeiros Lima</v>
      </c>
      <c r="D22" s="168" t="str">
        <f>IF(VLOOKUP(B22,Cad.RateioConsumo!$B$3:$Q$35,3,FALSE)="PF","CPF","CNPJ")</f>
        <v>CNPJ</v>
      </c>
      <c r="E22" s="56" t="str">
        <f>VLOOKUP(B22,Cad.RateioConsumo!$B$3:$Q$35,4,FALSE)</f>
        <v>612.634.903-28</v>
      </c>
      <c r="F22" s="56">
        <f>VLOOKUP(B22,Cad.RateioConsumo!$B$3:$Q$35,5,FALSE)</f>
        <v>3002796782</v>
      </c>
      <c r="G22" s="56" t="str">
        <f>VLOOKUP(B22,Cad.RateioConsumo!$B$3:$Q$35,13,FALSE)</f>
        <v>VL ARISTOTELES , S/N , RUA FRANCISCO MARCELINO DE MEDEIROS RUA FRANCISCO MARCELINO DE MEDEIROS CEP: 65728-000 CENTRO - LIMA CAMPOS - MA</v>
      </c>
      <c r="H22" s="169" t="str">
        <f>VLOOKUP(A22,Medições!$E$3:$Y$95,7,FALSE)</f>
        <v>11/2025</v>
      </c>
      <c r="I22" s="170">
        <f>VLOOKUP(A22,Medições!$E$3:$Y$95,18,FALSE)</f>
        <v>1626.75</v>
      </c>
      <c r="J22" s="169">
        <v>45989</v>
      </c>
      <c r="K22" s="40">
        <f>VLOOKUP(A22,Medições!$E$3:$Y$95,3,FALSE)</f>
        <v>3023594470</v>
      </c>
      <c r="L22" s="56" t="str">
        <f>VLOOKUP(Faturas!$A22,Medições!$E$3:$Y$86,2,FALSE)</f>
        <v>Usina 2</v>
      </c>
      <c r="M22" s="57">
        <f>VLOOKUP(Faturas!$A22,Medições!$E$3:$Z$103,11,FALSE)</f>
        <v>1864.73</v>
      </c>
      <c r="N22" s="57">
        <f>VLOOKUP(Faturas!$A22,Medições!$E$3:$BA$97,24,FALSE)</f>
        <v>0</v>
      </c>
      <c r="O22" s="4"/>
      <c r="P22" s="4"/>
      <c r="Q22" s="4"/>
      <c r="R22" s="5"/>
      <c r="S22" s="29"/>
      <c r="T22" s="30"/>
      <c r="U22" s="4"/>
      <c r="V22" s="30"/>
      <c r="W22" s="31"/>
      <c r="X22" s="186"/>
      <c r="Y22" s="8"/>
      <c r="Z22" s="4"/>
      <c r="AA22" s="4"/>
      <c r="AB22" s="27"/>
      <c r="AC22" s="4"/>
      <c r="AD22" s="4"/>
      <c r="AE22" s="4"/>
      <c r="AF22" s="4"/>
      <c r="AH22" s="4"/>
      <c r="AI22" s="4"/>
      <c r="AJ22" s="4"/>
      <c r="AK22" s="4"/>
      <c r="AL22" s="4"/>
      <c r="AM22" s="4"/>
      <c r="AN22" s="4"/>
      <c r="AO22" s="5" t="s">
        <v>223</v>
      </c>
      <c r="AP22" s="245"/>
      <c r="AQ22" s="4">
        <v>5.71</v>
      </c>
      <c r="AR22" s="5">
        <f t="shared" si="2"/>
        <v>5.71</v>
      </c>
      <c r="AS22" s="8"/>
      <c r="AT22" s="4"/>
      <c r="AU22" s="5" t="str">
        <f>AO23</f>
        <v xml:space="preserve">Juros </v>
      </c>
      <c r="AV22" s="186">
        <f>AQ23</f>
        <v>12.09</v>
      </c>
    </row>
    <row r="23" spans="1:48" ht="14.25" customHeight="1">
      <c r="A23" s="42">
        <v>19</v>
      </c>
      <c r="B23" s="56" t="str">
        <f>VLOOKUP(A23,Medições!$E$3:$Y$89,4,FALSE)</f>
        <v>3.7</v>
      </c>
      <c r="C23" s="168" t="str">
        <f>VLOOKUP(B23,Cad.RateioConsumo!$B$3:$Q$55,14,FALSE)</f>
        <v>Fatima Abdel Hafiz Khalifa Cavalcanti</v>
      </c>
      <c r="D23" s="168" t="str">
        <f>IF(VLOOKUP(B23,Cad.RateioConsumo!$B$3:$Q$35,3,FALSE)="PF","CPF","CNPJ")</f>
        <v>CNPJ</v>
      </c>
      <c r="E23" s="56" t="str">
        <f>VLOOKUP(B23,Cad.RateioConsumo!$B$3:$Q$35,4,FALSE)</f>
        <v>840.670.553-15</v>
      </c>
      <c r="F23" s="56">
        <f>VLOOKUP(B23,Cad.RateioConsumo!$B$3:$Q$35,5,FALSE)</f>
        <v>38398091</v>
      </c>
      <c r="G23" s="56" t="str">
        <f>VLOOKUP(B23,Cad.RateioConsumo!$B$3:$Q$35,13,FALSE)</f>
        <v>Rua Nova nº63, Anil, São Luis, MA CEP: 65046-160</v>
      </c>
      <c r="H23" s="169" t="str">
        <f>VLOOKUP(A23,Medições!$E$3:$Y$95,7,FALSE)</f>
        <v>12/2025</v>
      </c>
      <c r="I23" s="170">
        <f>VLOOKUP(A23,Medições!$E$3:$Y$95,18,FALSE)</f>
        <v>1087.3399999999999</v>
      </c>
      <c r="J23" s="169">
        <f>VLOOKUP(Faturas!$B23&amp;Faturas!$H23,Hist.Consum!$B$5:$V$119,11,FALSE)</f>
        <v>45663</v>
      </c>
      <c r="K23" s="40">
        <f>VLOOKUP(A23,Medições!$E$3:$Y$95,3,FALSE)</f>
        <v>3023637013</v>
      </c>
      <c r="L23" s="56" t="str">
        <f>VLOOKUP(Faturas!$A23,Medições!$E$3:$Y$86,2,FALSE)</f>
        <v>Usina 3</v>
      </c>
      <c r="M23" s="57">
        <f>VLOOKUP(Faturas!$A23,Medições!$E$3:$Z$103,11,FALSE)</f>
        <v>1137.26</v>
      </c>
      <c r="N23" s="57">
        <f>VLOOKUP(Faturas!$A23,Medições!$E$3:$BA$97,24,FALSE)</f>
        <v>1108.57</v>
      </c>
      <c r="O23" s="4"/>
      <c r="P23" s="4"/>
      <c r="Q23" s="4"/>
      <c r="R23" s="5"/>
      <c r="S23" s="29"/>
      <c r="T23" s="30"/>
      <c r="U23" s="4"/>
      <c r="V23" s="34"/>
      <c r="W23" s="27"/>
      <c r="X23" s="32"/>
      <c r="Y23" s="8"/>
      <c r="Z23" s="48" t="s">
        <v>225</v>
      </c>
      <c r="AA23" s="4"/>
      <c r="AB23" s="27"/>
      <c r="AC23" s="4"/>
      <c r="AD23" s="4"/>
      <c r="AE23" s="4"/>
      <c r="AF23" s="4"/>
      <c r="AG23" s="4"/>
      <c r="AI23" s="4"/>
      <c r="AJ23" s="4"/>
      <c r="AK23" s="4"/>
      <c r="AL23" s="4"/>
      <c r="AM23" s="4"/>
      <c r="AN23" s="4"/>
      <c r="AO23" s="5" t="s">
        <v>224</v>
      </c>
      <c r="AP23" s="245"/>
      <c r="AQ23" s="4">
        <v>12.09</v>
      </c>
      <c r="AR23" s="5">
        <f t="shared" si="2"/>
        <v>12.09</v>
      </c>
      <c r="AS23" s="8"/>
      <c r="AT23" s="4"/>
      <c r="AU23" s="5" t="s">
        <v>226</v>
      </c>
      <c r="AV23" s="186">
        <f>-SUM(X20:X23)</f>
        <v>0</v>
      </c>
    </row>
    <row r="24" spans="1:48" ht="14.25" customHeight="1">
      <c r="A24" s="42">
        <v>20</v>
      </c>
      <c r="B24" s="56" t="str">
        <f>VLOOKUP(A24,Medições!$E$3:$Y$89,4,FALSE)</f>
        <v>3.6</v>
      </c>
      <c r="C24" s="168" t="str">
        <f>VLOOKUP(B24,Cad.RateioConsumo!$B$3:$Q$55,14,FALSE)</f>
        <v>Patricia Maria Abreu Machado</v>
      </c>
      <c r="D24" s="168" t="str">
        <f>IF(VLOOKUP(B24,Cad.RateioConsumo!$B$3:$Q$35,3,FALSE)="PF","CPF","CNPJ")</f>
        <v>CNPJ</v>
      </c>
      <c r="E24" s="56" t="str">
        <f>VLOOKUP(B24,Cad.RateioConsumo!$B$3:$Q$35,4,FALSE)</f>
        <v>676.211.553-53</v>
      </c>
      <c r="F24" s="56">
        <f>VLOOKUP(B24,Cad.RateioConsumo!$B$3:$Q$35,5,FALSE)</f>
        <v>3006793931</v>
      </c>
      <c r="G24" s="56" t="str">
        <f>VLOOKUP(B24,Cad.RateioConsumo!$B$3:$Q$35,13,FALSE)</f>
        <v>R. MARIA F REIS , 20 , QD B CONJ BASA QD B CONJ BASA CEP: 65010-000 SAO FRANCISCO, na cidade de São Luís, Estado do Maranhão</v>
      </c>
      <c r="H24" s="169" t="str">
        <f>VLOOKUP(A24,Medições!$E$3:$Y$95,7,FALSE)</f>
        <v>12/2025</v>
      </c>
      <c r="I24" s="170">
        <f>VLOOKUP(A24,Medições!$E$3:$Y$95,18,FALSE)</f>
        <v>864.9</v>
      </c>
      <c r="J24" s="169">
        <f>VLOOKUP(Faturas!$B24&amp;Faturas!$H24,Hist.Consum!$B$5:$V$119,11,FALSE)</f>
        <v>46029</v>
      </c>
      <c r="K24" s="40">
        <f>VLOOKUP(A24,Medições!$E$3:$Y$95,3,FALSE)</f>
        <v>3023637013</v>
      </c>
      <c r="L24" s="56" t="str">
        <f>VLOOKUP(Faturas!$A24,Medições!$E$3:$Y$86,2,FALSE)</f>
        <v>Usina 3</v>
      </c>
      <c r="M24" s="57">
        <f>VLOOKUP(Faturas!$A24,Medições!$E$3:$Z$103,11,FALSE)</f>
        <v>871.79</v>
      </c>
      <c r="N24" s="57">
        <f>VLOOKUP(Faturas!$A24,Medições!$E$3:$BA$97,24,FALSE)</f>
        <v>881.43</v>
      </c>
      <c r="O24" s="4"/>
      <c r="P24" s="4"/>
      <c r="Q24" s="4"/>
      <c r="R24" s="5"/>
      <c r="S24" s="29"/>
      <c r="T24" s="30"/>
      <c r="U24" s="4"/>
      <c r="V24" s="4"/>
      <c r="W24" s="27"/>
      <c r="X24" s="32"/>
      <c r="Y24" s="8"/>
      <c r="Z24" s="322" t="s">
        <v>142</v>
      </c>
      <c r="AA24" s="323" t="s">
        <v>227</v>
      </c>
      <c r="AB24" s="303"/>
      <c r="AC24" s="322" t="s">
        <v>228</v>
      </c>
      <c r="AD24" s="322" t="s">
        <v>229</v>
      </c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5"/>
      <c r="AP24" s="245"/>
      <c r="AQ24" s="4"/>
      <c r="AR24" s="5"/>
      <c r="AS24" s="8"/>
      <c r="AT24" s="24"/>
      <c r="AU24" s="5"/>
      <c r="AV24" s="195">
        <f>SUM(AV18:AV23)</f>
        <v>160.70000000000002</v>
      </c>
    </row>
    <row r="25" spans="1:48" ht="14.25" customHeight="1">
      <c r="A25" s="42">
        <v>21</v>
      </c>
      <c r="B25" s="56" t="str">
        <f>VLOOKUP(A25,Medições!$E$3:$Y$89,4,FALSE)</f>
        <v>3.5</v>
      </c>
      <c r="C25" s="168" t="str">
        <f>VLOOKUP(B25,Cad.RateioConsumo!$B$3:$Q$55,14,FALSE)</f>
        <v>João Carlos Pereira Dutra Filho</v>
      </c>
      <c r="D25" s="168" t="str">
        <f>IF(VLOOKUP(B25,Cad.RateioConsumo!$B$3:$Q$35,3,FALSE)="PF","CPF","CNPJ")</f>
        <v>CNPJ</v>
      </c>
      <c r="E25" s="56" t="str">
        <f>VLOOKUP(B25,Cad.RateioConsumo!$B$3:$Q$35,4,FALSE)</f>
        <v>064837473-49</v>
      </c>
      <c r="F25" s="56">
        <f>VLOOKUP(B25,Cad.RateioConsumo!$B$3:$Q$35,5,FALSE)</f>
        <v>1163310</v>
      </c>
      <c r="G25" s="56" t="str">
        <f>VLOOKUP(B25,Cad.RateioConsumo!$B$3:$Q$35,13,FALSE)</f>
        <v>R. 13 , 31 , QD 7 QD 7 CEP: 65010-000 PLN - VINHAIS II - SAO LUIS - MA</v>
      </c>
      <c r="H25" s="169">
        <f>VLOOKUP(A25,Medições!$E$3:$Y$95,7,FALSE)</f>
        <v>0</v>
      </c>
      <c r="I25" s="170">
        <f>VLOOKUP(A25,Medições!$E$3:$Y$95,18,FALSE)</f>
        <v>0</v>
      </c>
      <c r="J25" s="169" t="e">
        <f>VLOOKUP(Faturas!$B25&amp;Faturas!$H25,Hist.Consum!$B$5:$V$119,11,FALSE)</f>
        <v>#N/A</v>
      </c>
      <c r="K25" s="40">
        <f>VLOOKUP(A25,Medições!$E$3:$Y$95,3,FALSE)</f>
        <v>3023637013</v>
      </c>
      <c r="L25" s="56" t="str">
        <f>VLOOKUP(Faturas!$A25,Medições!$E$3:$Y$86,2,FALSE)</f>
        <v>Usina 3</v>
      </c>
      <c r="M25" s="57">
        <f>VLOOKUP(Faturas!$A25,Medições!$E$3:$Z$103,11,FALSE)</f>
        <v>0</v>
      </c>
      <c r="N25" s="57">
        <f>VLOOKUP(Faturas!$A25,Medições!$E$3:$BA$97,24,FALSE)</f>
        <v>0</v>
      </c>
      <c r="O25" s="4"/>
      <c r="P25" s="4"/>
      <c r="Q25" s="4"/>
      <c r="R25" s="5"/>
      <c r="S25" s="18"/>
      <c r="T25" s="19"/>
      <c r="U25" s="19"/>
      <c r="V25" s="19"/>
      <c r="W25" s="19"/>
      <c r="X25" s="25"/>
      <c r="Y25" s="8"/>
      <c r="Z25" s="300"/>
      <c r="AA25" s="196" t="s">
        <v>140</v>
      </c>
      <c r="AB25" s="196" t="s">
        <v>231</v>
      </c>
      <c r="AC25" s="300"/>
      <c r="AD25" s="300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23" t="s">
        <v>230</v>
      </c>
      <c r="AP25" s="260"/>
      <c r="AQ25" s="24">
        <f>SUM(AQ20:AQ23)</f>
        <v>160.70000000000002</v>
      </c>
      <c r="AR25" s="23">
        <f>AQ25</f>
        <v>160.70000000000002</v>
      </c>
      <c r="AS25" s="194"/>
      <c r="AT25" s="4"/>
      <c r="AU25" s="23"/>
      <c r="AV25" s="195"/>
    </row>
    <row r="26" spans="1:48" ht="14.25" customHeight="1">
      <c r="A26" s="42">
        <v>22</v>
      </c>
      <c r="B26" s="56" t="str">
        <f>VLOOKUP(A26,Medições!$E$3:$Y$89,4,FALSE)</f>
        <v>3.4</v>
      </c>
      <c r="C26" s="168" t="str">
        <f>VLOOKUP(B26,Cad.RateioConsumo!$B$3:$Q$55,14,FALSE)</f>
        <v>Antonio Jose Souza Filho</v>
      </c>
      <c r="D26" s="168" t="str">
        <f>IF(VLOOKUP(B26,Cad.RateioConsumo!$B$3:$Q$35,3,FALSE)="PF","CPF","CNPJ")</f>
        <v>CNPJ</v>
      </c>
      <c r="E26" s="56" t="str">
        <f>VLOOKUP(B26,Cad.RateioConsumo!$B$3:$Q$35,4,FALSE)</f>
        <v>682.957.583-49</v>
      </c>
      <c r="F26" s="56">
        <f>VLOOKUP(B26,Cad.RateioConsumo!$B$3:$Q$35,5,FALSE)</f>
        <v>3007625048</v>
      </c>
      <c r="G26" s="56" t="str">
        <f>VLOOKUP(B26,Cad.RateioConsumo!$B$3:$Q$35,13,FALSE)</f>
        <v>R. 03 , 23 , LOT ALTO DO JAGUAREMA QD 05 LOT - ALTO DO JAGUAREMA QD 05 CEP: 65110-000 ARACAGY</v>
      </c>
      <c r="H26" s="169" t="str">
        <f>VLOOKUP(A26,Medições!$E$3:$Y$95,7,FALSE)</f>
        <v>12/2025</v>
      </c>
      <c r="I26" s="170">
        <f>VLOOKUP(A26,Medições!$E$3:$Y$95,18,FALSE)</f>
        <v>448.43</v>
      </c>
      <c r="J26" s="169">
        <f>VLOOKUP(Faturas!$B26&amp;Faturas!$H26,Hist.Consum!$B$5:$V$119,11,FALSE)</f>
        <v>46015</v>
      </c>
      <c r="K26" s="40">
        <f>VLOOKUP(A26,Medições!$E$3:$Y$95,3,FALSE)</f>
        <v>3023637013</v>
      </c>
      <c r="L26" s="56" t="str">
        <f>VLOOKUP(Faturas!$A26,Medições!$E$3:$Y$86,2,FALSE)</f>
        <v>Usina 3</v>
      </c>
      <c r="M26" s="57">
        <f>VLOOKUP(Faturas!$A26,Medições!$E$3:$Z$103,11,FALSE)</f>
        <v>468.1</v>
      </c>
      <c r="N26" s="57">
        <f>VLOOKUP(Faturas!$A26,Medições!$E$3:$BA$97,24,FALSE)</f>
        <v>1430.65</v>
      </c>
      <c r="O26" s="4" t="s">
        <v>232</v>
      </c>
      <c r="P26" s="4"/>
      <c r="Q26" s="4"/>
      <c r="R26" s="5"/>
      <c r="S26" s="5"/>
      <c r="T26" s="4"/>
      <c r="U26" s="4"/>
      <c r="V26" s="24" t="s">
        <v>20</v>
      </c>
      <c r="W26" s="24"/>
      <c r="X26" s="36">
        <f>SUM(X18:X25)</f>
        <v>683.99</v>
      </c>
      <c r="Y26" s="8"/>
      <c r="Z26" s="174" t="s">
        <v>198</v>
      </c>
      <c r="AA26" s="174" t="s">
        <v>199</v>
      </c>
      <c r="AB26" s="174" t="s">
        <v>200</v>
      </c>
      <c r="AC26" s="174" t="s">
        <v>281</v>
      </c>
      <c r="AD26" s="174" t="s">
        <v>282</v>
      </c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5"/>
      <c r="AP26" s="245"/>
      <c r="AQ26" s="4"/>
      <c r="AR26" s="5"/>
      <c r="AS26" s="8"/>
      <c r="AT26" s="24"/>
      <c r="AU26" s="18"/>
      <c r="AV26" s="203">
        <f>AV16+AV24</f>
        <v>245.70024481422578</v>
      </c>
    </row>
    <row r="27" spans="1:48" ht="14.25" customHeight="1">
      <c r="A27" s="42">
        <v>23</v>
      </c>
      <c r="B27" s="56" t="str">
        <f>VLOOKUP(A27,Medições!$E$3:$Y$89,4,FALSE)</f>
        <v>3.3</v>
      </c>
      <c r="C27" s="168" t="str">
        <f>VLOOKUP(B27,Cad.RateioConsumo!$B$3:$Q$55,14,FALSE)</f>
        <v>Associação dos Moradores do Residencial Araçagy</v>
      </c>
      <c r="D27" s="168" t="str">
        <f>IF(VLOOKUP(B27,Cad.RateioConsumo!$B$3:$Q$35,3,FALSE)="PF","CPF","CNPJ")</f>
        <v>CNPJ</v>
      </c>
      <c r="E27" s="56" t="str">
        <f>VLOOKUP(B27,Cad.RateioConsumo!$B$3:$Q$35,4,FALSE)</f>
        <v>20.069.500/0001-97</v>
      </c>
      <c r="F27" s="56">
        <f>VLOOKUP(B27,Cad.RateioConsumo!$B$3:$Q$35,5,FALSE)</f>
        <v>3021150559</v>
      </c>
      <c r="G27" s="56" t="str">
        <f>VLOOKUP(B27,Cad.RateioConsumo!$B$3:$Q$35,13,FALSE)</f>
        <v>R. Granja , s/n , CP 26 CS 36 PS 1, cep: 65138-000 Aracagi - Raposa - MA,</v>
      </c>
      <c r="H27" s="169" t="str">
        <f>VLOOKUP(A27,Medições!$E$3:$Y$95,7,FALSE)</f>
        <v>12/2025</v>
      </c>
      <c r="I27" s="170">
        <f>VLOOKUP(A27,Medições!$E$3:$Y$95,18,FALSE)</f>
        <v>1669.03</v>
      </c>
      <c r="J27" s="169">
        <f>VLOOKUP(Faturas!$B27&amp;Faturas!$H27,Hist.Consum!$B$5:$V$119,11,FALSE)</f>
        <v>46015</v>
      </c>
      <c r="K27" s="40">
        <f>VLOOKUP(A27,Medições!$E$3:$Y$95,3,FALSE)</f>
        <v>3023637013</v>
      </c>
      <c r="L27" s="56" t="str">
        <f>VLOOKUP(Faturas!$A27,Medições!$E$3:$Y$86,2,FALSE)</f>
        <v>Usina 3</v>
      </c>
      <c r="M27" s="57">
        <f>VLOOKUP(Faturas!$A27,Medições!$E$3:$Z$103,11,FALSE)</f>
        <v>1680.76</v>
      </c>
      <c r="N27" s="57">
        <f>VLOOKUP(Faturas!$A27,Medições!$E$3:$BA$97,24,FALSE)</f>
        <v>6568.29</v>
      </c>
      <c r="O27" s="4" t="s">
        <v>232</v>
      </c>
      <c r="P27" s="4"/>
      <c r="Q27" s="4"/>
      <c r="R27" s="5"/>
      <c r="S27" s="5"/>
      <c r="T27" s="4"/>
      <c r="U27" s="4"/>
      <c r="V27" s="4" t="s">
        <v>21</v>
      </c>
      <c r="W27" s="4"/>
      <c r="X27" s="32"/>
      <c r="Y27" s="8"/>
      <c r="Z27" s="197" t="s">
        <v>233</v>
      </c>
      <c r="AA27" s="198" t="s">
        <v>194</v>
      </c>
      <c r="AB27" s="198" t="s">
        <v>194</v>
      </c>
      <c r="AC27" s="197" t="s">
        <v>194</v>
      </c>
      <c r="AD27" s="197" t="s">
        <v>233</v>
      </c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199" t="s">
        <v>234</v>
      </c>
      <c r="AP27" s="262"/>
      <c r="AQ27" s="200">
        <f t="shared" ref="AQ27:AR27" si="3">AQ17+AQ25</f>
        <v>260.70000000000005</v>
      </c>
      <c r="AR27" s="201">
        <f t="shared" si="3"/>
        <v>245.70024481422578</v>
      </c>
      <c r="AS27" s="202"/>
      <c r="AT27" s="4"/>
      <c r="AU27" s="4"/>
      <c r="AV27" s="4"/>
    </row>
    <row r="28" spans="1:48" ht="14.25" customHeight="1">
      <c r="A28" s="42">
        <v>24</v>
      </c>
      <c r="B28" s="56" t="str">
        <f>VLOOKUP(A28,Medições!$E$3:$Y$89,4,FALSE)</f>
        <v>3.2</v>
      </c>
      <c r="C28" s="168" t="str">
        <f>VLOOKUP(B28,Cad.RateioConsumo!$B$3:$Q$55,14,FALSE)</f>
        <v>Associação dos Moradores do Residencial Araçagy</v>
      </c>
      <c r="D28" s="168" t="str">
        <f>IF(VLOOKUP(B28,Cad.RateioConsumo!$B$3:$Q$35,3,FALSE)="PF","CPF","CNPJ")</f>
        <v>CNPJ</v>
      </c>
      <c r="E28" s="56" t="str">
        <f>VLOOKUP(B28,Cad.RateioConsumo!$B$3:$Q$35,4,FALSE)</f>
        <v>20.069.500/0001-97</v>
      </c>
      <c r="F28" s="56">
        <f>VLOOKUP(B28,Cad.RateioConsumo!$B$3:$Q$35,5,FALSE)</f>
        <v>3021149593</v>
      </c>
      <c r="G28" s="56" t="str">
        <f>VLOOKUP(B28,Cad.RateioConsumo!$B$3:$Q$35,13,FALSE)</f>
        <v>R. da Agranja , 50 , CP 26 CS 36 PS 4, cep: 65138-000 Aracagi - Raposa - MA</v>
      </c>
      <c r="H28" s="169" t="str">
        <f>VLOOKUP(A28,Medições!$E$3:$Y$95,7,FALSE)</f>
        <v>12/2025</v>
      </c>
      <c r="I28" s="170">
        <f>VLOOKUP(A28,Medições!$E$3:$Y$95,18,FALSE)</f>
        <v>818.16</v>
      </c>
      <c r="J28" s="169">
        <f>VLOOKUP(Faturas!$B28&amp;Faturas!$H28,Hist.Consum!$B$5:$V$119,11,FALSE)</f>
        <v>46015</v>
      </c>
      <c r="K28" s="40">
        <f>VLOOKUP(A28,Medições!$E$3:$Y$95,3,FALSE)</f>
        <v>3023637013</v>
      </c>
      <c r="L28" s="56" t="str">
        <f>VLOOKUP(Faturas!$A28,Medições!$E$3:$Y$86,2,FALSE)</f>
        <v>Usina 3</v>
      </c>
      <c r="M28" s="57">
        <f>VLOOKUP(Faturas!$A28,Medições!$E$3:$Z$103,11,FALSE)</f>
        <v>824.67</v>
      </c>
      <c r="N28" s="57">
        <f>VLOOKUP(Faturas!$A28,Medições!$E$3:$BA$97,24,FALSE)</f>
        <v>2548.79</v>
      </c>
      <c r="O28" s="4" t="s">
        <v>232</v>
      </c>
      <c r="P28" s="4"/>
      <c r="Q28" s="4"/>
      <c r="R28" s="5"/>
      <c r="S28" s="18"/>
      <c r="T28" s="19"/>
      <c r="U28" s="19"/>
      <c r="V28" s="37" t="s">
        <v>22</v>
      </c>
      <c r="W28" s="37"/>
      <c r="X28" s="203">
        <f>X26+X27</f>
        <v>683.99</v>
      </c>
      <c r="Y28" s="8"/>
      <c r="Z28" s="251">
        <f>AI32</f>
        <v>0.84318000000000004</v>
      </c>
      <c r="AA28" s="205">
        <f>VLOOKUP($AH$9,Hist.Consum!$B$4:$V$240,20,FALSE)</f>
        <v>5.2880000000000002E-3</v>
      </c>
      <c r="AB28" s="205">
        <f>VLOOKUP($AH$9,Hist.Consum!$B$4:$V$140,21,FALSE)</f>
        <v>2.4410000000000001E-2</v>
      </c>
      <c r="AC28" s="179">
        <f>VLOOKUP($AH$9,Hist.Consum!$B$4:$V$140,19,FALSE)</f>
        <v>0.23</v>
      </c>
      <c r="AD28" s="206">
        <f>ROUND(Z28/((1-AA28-AB28)*(1-AC28)),4)</f>
        <v>1.1286</v>
      </c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245"/>
      <c r="AQ28" s="4"/>
      <c r="AR28" s="4"/>
      <c r="AS28" s="4"/>
      <c r="AT28" s="4"/>
      <c r="AU28" s="4"/>
      <c r="AV28" s="4"/>
    </row>
    <row r="29" spans="1:48" ht="14.25" customHeight="1">
      <c r="A29" s="3">
        <v>25</v>
      </c>
      <c r="B29" s="56" t="str">
        <f>VLOOKUP(A29,Medições!$E$3:$Y$89,4,FALSE)</f>
        <v>3.1</v>
      </c>
      <c r="C29" s="168" t="str">
        <f>VLOOKUP(B29,Cad.RateioConsumo!$B$3:$Q$55,14,FALSE)</f>
        <v>Associação dos Moradores do Residencial Araçagy</v>
      </c>
      <c r="D29" s="168" t="str">
        <f>IF(VLOOKUP(B29,Cad.RateioConsumo!$B$3:$Q$35,3,FALSE)="PF","CPF","CNPJ")</f>
        <v>CNPJ</v>
      </c>
      <c r="E29" s="56" t="str">
        <f>VLOOKUP(B29,Cad.RateioConsumo!$B$3:$Q$35,4,FALSE)</f>
        <v>20.069.500/0001-97</v>
      </c>
      <c r="F29" s="56">
        <f>VLOOKUP(B29,Cad.RateioConsumo!$B$3:$Q$35,5,FALSE)</f>
        <v>3021142432</v>
      </c>
      <c r="G29" s="56" t="str">
        <f>VLOOKUP(B29,Cad.RateioConsumo!$B$3:$Q$35,13,FALSE)</f>
        <v>R. da Agranja , 50 , CP 26 CS 59 PS 1, CEP: 65138-000 Aracagi - Raposa - MA</v>
      </c>
      <c r="H29" s="169" t="str">
        <f>VLOOKUP(A29,Medições!$E$3:$Y$95,7,FALSE)</f>
        <v>12/2025</v>
      </c>
      <c r="I29" s="170">
        <f>VLOOKUP(A29,Medições!$E$3:$Y$95,18,FALSE)</f>
        <v>119.91</v>
      </c>
      <c r="J29" s="169">
        <f>VLOOKUP(Faturas!$B29&amp;Faturas!$H29,Hist.Consum!$B$5:$V$119,11,FALSE)</f>
        <v>46015</v>
      </c>
      <c r="K29" s="40">
        <f>VLOOKUP(A29,Medições!$E$3:$Y$95,3,FALSE)</f>
        <v>3023637013</v>
      </c>
      <c r="L29" s="56" t="str">
        <f>VLOOKUP(Faturas!$A29,Medições!$E$3:$Y$86,2,FALSE)</f>
        <v>Usina 3</v>
      </c>
      <c r="M29" s="57">
        <f>VLOOKUP(Faturas!$A29,Medições!$E$3:$Z$103,11,FALSE)</f>
        <v>230.91</v>
      </c>
      <c r="N29" s="57">
        <f>VLOOKUP(Faturas!$A29,Medições!$E$3:$BA$97,24,FALSE)</f>
        <v>537.36</v>
      </c>
      <c r="O29" s="4" t="s">
        <v>232</v>
      </c>
      <c r="P29" s="4"/>
      <c r="Q29" s="4"/>
      <c r="R29" s="5"/>
      <c r="S29" s="207" t="s">
        <v>23</v>
      </c>
      <c r="T29" s="2"/>
      <c r="U29" s="2"/>
      <c r="V29" s="2"/>
      <c r="W29" s="2"/>
      <c r="X29" s="3"/>
      <c r="Y29" s="8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245"/>
      <c r="AQ29" s="4"/>
      <c r="AR29" s="4"/>
      <c r="AS29" s="4"/>
      <c r="AT29" s="4"/>
      <c r="AU29" s="4"/>
      <c r="AV29" s="4"/>
    </row>
    <row r="30" spans="1:48" ht="14.25" customHeight="1">
      <c r="A30" s="3">
        <v>26</v>
      </c>
      <c r="B30" s="56" t="str">
        <f>VLOOKUP(A30,Medições!$E$3:$Y$89,4,FALSE)</f>
        <v>2.2</v>
      </c>
      <c r="C30" s="168" t="str">
        <f>VLOOKUP(B30,Cad.RateioConsumo!$B$3:$Q$55,14,FALSE)</f>
        <v>SORRISO SAUDE ODONTOLOGIA LTDA</v>
      </c>
      <c r="D30" s="168" t="str">
        <f>IF(VLOOKUP(B30,Cad.RateioConsumo!$B$3:$Q$35,3,FALSE)="PF","CPF","CNPJ")</f>
        <v>CNPJ</v>
      </c>
      <c r="E30" s="56" t="str">
        <f>VLOOKUP(B30,Cad.RateioConsumo!$B$3:$Q$35,4,FALSE)</f>
        <v>60.080.581/0001-40</v>
      </c>
      <c r="F30" s="56">
        <f>VLOOKUP(B30,Cad.RateioConsumo!$B$3:$Q$35,5,FALSE)</f>
        <v>3022893768</v>
      </c>
      <c r="G30" s="56" t="str">
        <f>VLOOKUP(B30,Cad.RateioConsumo!$B$3:$Q$35,13,FALSE)</f>
        <v>AV RAIMUNDO CORREIA DA SILVA , 1346 , B B CEP: 65633-641 CIDADE NOVA - TIMON - MA</v>
      </c>
      <c r="H30" s="169" t="str">
        <f>VLOOKUP(A30,Medições!$E$3:$Y$95,7,FALSE)</f>
        <v>12/2025</v>
      </c>
      <c r="I30" s="170">
        <f>VLOOKUP(A30,Medições!$E$3:$Y$95,18,FALSE)</f>
        <v>888.35</v>
      </c>
      <c r="J30" s="169">
        <f>VLOOKUP(Faturas!$B30&amp;Faturas!$H30,Hist.Consum!$B$5:$V$119,11,FALSE)</f>
        <v>46007</v>
      </c>
      <c r="K30" s="40">
        <f>VLOOKUP(A30,Medições!$E$3:$Y$95,3,FALSE)</f>
        <v>3023594470</v>
      </c>
      <c r="L30" s="56" t="str">
        <f>VLOOKUP(Faturas!$A30,Medições!$E$3:$Y$86,2,FALSE)</f>
        <v>Usina 2</v>
      </c>
      <c r="M30" s="57">
        <f>VLOOKUP(Faturas!$A30,Medições!$E$3:$Z$103,11,FALSE)</f>
        <v>972.51</v>
      </c>
      <c r="N30" s="57">
        <f>VLOOKUP(Faturas!$A30,Medições!$E$3:$BA$97,24,FALSE)</f>
        <v>0</v>
      </c>
      <c r="O30" s="4" t="s">
        <v>232</v>
      </c>
      <c r="P30" s="4"/>
      <c r="Q30" s="4"/>
      <c r="R30" s="5"/>
      <c r="S30" s="38" t="s">
        <v>235</v>
      </c>
      <c r="T30" s="39"/>
      <c r="U30" s="4"/>
      <c r="V30" s="4"/>
      <c r="W30" s="4"/>
      <c r="X30" s="8"/>
      <c r="Y30" s="8"/>
      <c r="Z30" s="48" t="s">
        <v>149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245"/>
      <c r="AQ30" s="4"/>
      <c r="AR30" s="31">
        <f>AR25-AV23</f>
        <v>160.70000000000002</v>
      </c>
      <c r="AS30" s="4" t="s">
        <v>236</v>
      </c>
      <c r="AT30" s="4"/>
      <c r="AU30" s="4"/>
      <c r="AV30" s="4"/>
    </row>
    <row r="31" spans="1:48" ht="14.25" customHeight="1">
      <c r="A31" s="3">
        <v>27</v>
      </c>
      <c r="B31" s="56" t="str">
        <f>VLOOKUP(A31,Medições!$E$3:$Y$89,4,FALSE)</f>
        <v>2.1</v>
      </c>
      <c r="C31" s="168" t="str">
        <f>VLOOKUP(B31,Cad.RateioConsumo!$B$3:$Q$55,14,FALSE)</f>
        <v>Lucas Medeiros Lima</v>
      </c>
      <c r="D31" s="168" t="str">
        <f>IF(VLOOKUP(B31,Cad.RateioConsumo!$B$3:$Q$35,3,FALSE)="PF","CPF","CNPJ")</f>
        <v>CNPJ</v>
      </c>
      <c r="E31" s="56" t="str">
        <f>VLOOKUP(B31,Cad.RateioConsumo!$B$3:$Q$35,4,FALSE)</f>
        <v>612.634.903-28</v>
      </c>
      <c r="F31" s="56">
        <f>VLOOKUP(B31,Cad.RateioConsumo!$B$3:$Q$35,5,FALSE)</f>
        <v>3002796782</v>
      </c>
      <c r="G31" s="56" t="str">
        <f>VLOOKUP(B31,Cad.RateioConsumo!$B$3:$Q$35,13,FALSE)</f>
        <v>VL ARISTOTELES , S/N , RUA FRANCISCO MARCELINO DE MEDEIROS RUA FRANCISCO MARCELINO DE MEDEIROS CEP: 65728-000 CENTRO - LIMA CAMPOS - MA</v>
      </c>
      <c r="H31" s="169" t="str">
        <f>VLOOKUP(A31,Medições!$E$3:$Y$95,7,FALSE)</f>
        <v>12/2025</v>
      </c>
      <c r="I31" s="170">
        <f>VLOOKUP(A31,Medições!$E$3:$Y$95,18,FALSE)</f>
        <v>1114.1300000000001</v>
      </c>
      <c r="J31" s="169">
        <f>VLOOKUP(Faturas!$B31&amp;Faturas!$H31,Hist.Consum!$B$5:$V$119,11,FALSE)</f>
        <v>46017</v>
      </c>
      <c r="K31" s="40">
        <f>VLOOKUP(A31,Medições!$E$3:$Y$95,3,FALSE)</f>
        <v>3023594470</v>
      </c>
      <c r="L31" s="56" t="str">
        <f>VLOOKUP(Faturas!$A31,Medições!$E$3:$Y$86,2,FALSE)</f>
        <v>Usina 2</v>
      </c>
      <c r="M31" s="57">
        <f>VLOOKUP(Faturas!$A31,Medições!$E$3:$Z$103,11,FALSE)</f>
        <v>1739.12</v>
      </c>
      <c r="N31" s="57">
        <f>VLOOKUP(Faturas!$A31,Medições!$E$3:$BA$97,24,FALSE)</f>
        <v>0</v>
      </c>
      <c r="O31" s="4" t="s">
        <v>232</v>
      </c>
      <c r="P31" s="4"/>
      <c r="Q31" s="4"/>
      <c r="R31" s="5"/>
      <c r="S31" s="5" t="s">
        <v>237</v>
      </c>
      <c r="T31" s="4"/>
      <c r="U31" s="4"/>
      <c r="V31" s="4"/>
      <c r="W31" s="4"/>
      <c r="X31" s="8"/>
      <c r="Y31" s="8"/>
      <c r="Z31" s="208" t="s">
        <v>121</v>
      </c>
      <c r="AA31" s="324" t="s">
        <v>149</v>
      </c>
      <c r="AB31" s="303"/>
      <c r="AC31" s="4"/>
      <c r="AD31" s="4"/>
      <c r="AE31" s="4"/>
      <c r="AF31" s="4"/>
      <c r="AG31" s="4"/>
      <c r="AH31" s="56" t="s">
        <v>238</v>
      </c>
      <c r="AI31" s="204">
        <v>0.71081000000000005</v>
      </c>
      <c r="AJ31" s="68">
        <f>AI31*(29-AK34)</f>
        <v>15.637820000000001</v>
      </c>
      <c r="AK31" s="4"/>
      <c r="AL31" s="4"/>
      <c r="AM31" s="4"/>
      <c r="AN31" s="4"/>
      <c r="AO31" s="4"/>
      <c r="AP31" s="245"/>
      <c r="AQ31" s="4"/>
      <c r="AR31" s="4"/>
      <c r="AS31" s="4"/>
      <c r="AT31" s="4"/>
      <c r="AU31" s="4"/>
      <c r="AV31" s="4"/>
    </row>
    <row r="32" spans="1:48" ht="14.25" customHeight="1">
      <c r="A32" s="3">
        <v>28</v>
      </c>
      <c r="B32" s="56" t="str">
        <f>VLOOKUP(A32,Medições!$E$3:$Y$89,4,FALSE)</f>
        <v>3.7</v>
      </c>
      <c r="C32" s="168" t="str">
        <f>VLOOKUP(B32,Cad.RateioConsumo!$B$3:$Q$55,14,FALSE)</f>
        <v>Fatima Abdel Hafiz Khalifa Cavalcanti</v>
      </c>
      <c r="D32" s="168" t="str">
        <f>IF(VLOOKUP(B32,Cad.RateioConsumo!$B$3:$Q$35,3,FALSE)="PF","CPF","CNPJ")</f>
        <v>CNPJ</v>
      </c>
      <c r="E32" s="56" t="str">
        <f>VLOOKUP(B32,Cad.RateioConsumo!$B$3:$Q$35,4,FALSE)</f>
        <v>840.670.553-15</v>
      </c>
      <c r="F32" s="56">
        <f>VLOOKUP(B32,Cad.RateioConsumo!$B$3:$Q$35,5,FALSE)</f>
        <v>38398091</v>
      </c>
      <c r="G32" s="56" t="str">
        <f>VLOOKUP(B32,Cad.RateioConsumo!$B$3:$Q$35,13,FALSE)</f>
        <v>Rua Nova nº63, Anil, São Luis, MA CEP: 65046-160</v>
      </c>
      <c r="H32" s="169">
        <f>VLOOKUP(A32,Medições!$E$3:$Y$95,7,FALSE)</f>
        <v>0</v>
      </c>
      <c r="I32" s="170">
        <f>VLOOKUP(A32,Medições!$E$3:$Y$95,18,FALSE)</f>
        <v>0</v>
      </c>
      <c r="J32" s="169" t="e">
        <f>VLOOKUP(Faturas!$B32&amp;Faturas!$H32,Hist.Consum!$B$5:$V$119,11,FALSE)</f>
        <v>#N/A</v>
      </c>
      <c r="K32" s="40">
        <f>VLOOKUP(A32,Medições!$E$3:$Y$95,3,FALSE)</f>
        <v>3023637013</v>
      </c>
      <c r="L32" s="56" t="str">
        <f>VLOOKUP(Faturas!$A32,Medições!$E$3:$Y$86,2,FALSE)</f>
        <v>Usina 3</v>
      </c>
      <c r="M32" s="57">
        <f>VLOOKUP(Faturas!$A32,Medições!$E$3:$Z$103,11,FALSE)</f>
        <v>0</v>
      </c>
      <c r="N32" s="57">
        <f>VLOOKUP(Faturas!$A32,Medições!$E$3:$BA$97,24,FALSE)</f>
        <v>0</v>
      </c>
      <c r="O32" s="4" t="s">
        <v>232</v>
      </c>
      <c r="P32" s="4"/>
      <c r="Q32" s="4"/>
      <c r="R32" s="5"/>
      <c r="S32" s="5"/>
      <c r="T32" s="4"/>
      <c r="U32" s="4"/>
      <c r="V32" s="4"/>
      <c r="W32" s="4"/>
      <c r="X32" s="8"/>
      <c r="Y32" s="8"/>
      <c r="Z32" s="209" t="str">
        <f>VLOOKUP(T1,$A$5:$L$77,8,FALSE)</f>
        <v>01/2026</v>
      </c>
      <c r="AA32" s="305" t="str">
        <f>VLOOKUP($T$1,Medições!$E$3:$Z$75,16,FALSE)</f>
        <v>Verde</v>
      </c>
      <c r="AB32" s="303"/>
      <c r="AC32" s="4"/>
      <c r="AD32" s="4"/>
      <c r="AE32" s="4"/>
      <c r="AF32" s="4"/>
      <c r="AG32" s="4"/>
      <c r="AH32" s="56" t="s">
        <v>239</v>
      </c>
      <c r="AI32" s="55">
        <v>0.84318000000000004</v>
      </c>
      <c r="AJ32" s="4">
        <f>AI32*AK34</f>
        <v>5.9022600000000001</v>
      </c>
      <c r="AK32" s="4"/>
      <c r="AL32" s="4"/>
      <c r="AM32" s="4"/>
      <c r="AN32" s="4"/>
      <c r="AO32" s="4"/>
      <c r="AP32" s="245"/>
      <c r="AQ32" s="4"/>
      <c r="AR32" s="4"/>
      <c r="AS32" s="4"/>
      <c r="AT32" s="4"/>
      <c r="AU32" s="4"/>
      <c r="AV32" s="4"/>
    </row>
    <row r="33" spans="1:48" ht="14.25" customHeight="1">
      <c r="A33" s="3">
        <v>29</v>
      </c>
      <c r="B33" s="56" t="str">
        <f>VLOOKUP(A33,Medições!$E$3:$Y$89,4,FALSE)</f>
        <v>3.6</v>
      </c>
      <c r="C33" s="168" t="str">
        <f>VLOOKUP(B33,Cad.RateioConsumo!$B$3:$Q$55,14,FALSE)</f>
        <v>Patricia Maria Abreu Machado</v>
      </c>
      <c r="D33" s="168" t="str">
        <f>IF(VLOOKUP(B33,Cad.RateioConsumo!$B$3:$Q$35,3,FALSE)="PF","CPF","CNPJ")</f>
        <v>CNPJ</v>
      </c>
      <c r="E33" s="56" t="str">
        <f>VLOOKUP(B33,Cad.RateioConsumo!$B$3:$Q$35,4,FALSE)</f>
        <v>676.211.553-53</v>
      </c>
      <c r="F33" s="56">
        <f>VLOOKUP(B33,Cad.RateioConsumo!$B$3:$Q$35,5,FALSE)</f>
        <v>3006793931</v>
      </c>
      <c r="G33" s="56" t="str">
        <f>VLOOKUP(B33,Cad.RateioConsumo!$B$3:$Q$35,13,FALSE)</f>
        <v>R. MARIA F REIS , 20 , QD B CONJ BASA QD B CONJ BASA CEP: 65010-000 SAO FRANCISCO, na cidade de São Luís, Estado do Maranhão</v>
      </c>
      <c r="H33" s="169">
        <f>VLOOKUP(A33,Medições!$E$3:$Y$95,7,FALSE)</f>
        <v>0</v>
      </c>
      <c r="I33" s="170">
        <f>VLOOKUP(A33,Medições!$E$3:$Y$95,18,FALSE)</f>
        <v>0</v>
      </c>
      <c r="J33" s="169" t="e">
        <f>VLOOKUP(Faturas!$B33&amp;Faturas!$H33,Hist.Consum!$B$5:$V$119,11,FALSE)</f>
        <v>#N/A</v>
      </c>
      <c r="K33" s="40">
        <f>VLOOKUP(A33,Medições!$E$3:$Y$95,3,FALSE)</f>
        <v>3023637013</v>
      </c>
      <c r="L33" s="56" t="str">
        <f>VLOOKUP(Faturas!$A33,Medições!$E$3:$Y$86,2,FALSE)</f>
        <v>Usina 3</v>
      </c>
      <c r="M33" s="57">
        <f>VLOOKUP(Faturas!$A33,Medições!$E$3:$Z$103,11,FALSE)</f>
        <v>0</v>
      </c>
      <c r="N33" s="57">
        <f>VLOOKUP(Faturas!$A33,Medições!$E$3:$BA$97,24,FALSE)</f>
        <v>0</v>
      </c>
      <c r="O33" s="4" t="s">
        <v>232</v>
      </c>
      <c r="P33" s="4"/>
      <c r="Q33" s="4"/>
      <c r="R33" s="5"/>
      <c r="S33" s="5"/>
      <c r="T33" s="4"/>
      <c r="U33" s="4"/>
      <c r="V33" s="4"/>
      <c r="W33" s="4"/>
      <c r="X33" s="8"/>
      <c r="Y33" s="8"/>
      <c r="Z33" s="48"/>
      <c r="AA33" s="4"/>
      <c r="AB33" s="4"/>
      <c r="AC33" s="4"/>
      <c r="AD33" s="4"/>
      <c r="AE33" s="4"/>
      <c r="AF33" s="4"/>
      <c r="AG33" s="4"/>
      <c r="AH33" s="4"/>
      <c r="AI33" s="4"/>
      <c r="AJ33" s="210">
        <f>(AJ32+AJ31)/29</f>
        <v>0.74276137931034492</v>
      </c>
      <c r="AK33" s="50">
        <v>45897</v>
      </c>
      <c r="AL33" s="4"/>
      <c r="AM33" s="4"/>
      <c r="AN33" s="4"/>
      <c r="AO33" s="4"/>
      <c r="AP33" s="245"/>
      <c r="AQ33" s="4"/>
      <c r="AR33" s="4"/>
      <c r="AS33" s="4"/>
      <c r="AT33" s="4"/>
      <c r="AU33" s="4"/>
      <c r="AV33" s="4"/>
    </row>
    <row r="34" spans="1:48" ht="14.25" customHeight="1">
      <c r="A34" s="3">
        <v>30</v>
      </c>
      <c r="B34" s="56" t="str">
        <f>VLOOKUP(A34,Medições!$E$3:$Y$89,4,FALSE)</f>
        <v>3.5</v>
      </c>
      <c r="C34" s="168" t="str">
        <f>VLOOKUP(B34,Cad.RateioConsumo!$B$3:$Q$55,14,FALSE)</f>
        <v>João Carlos Pereira Dutra Filho</v>
      </c>
      <c r="D34" s="168" t="str">
        <f>IF(VLOOKUP(B34,Cad.RateioConsumo!$B$3:$Q$35,3,FALSE)="PF","CPF","CNPJ")</f>
        <v>CNPJ</v>
      </c>
      <c r="E34" s="56" t="str">
        <f>VLOOKUP(B34,Cad.RateioConsumo!$B$3:$Q$35,4,FALSE)</f>
        <v>064837473-49</v>
      </c>
      <c r="F34" s="56">
        <f>VLOOKUP(B34,Cad.RateioConsumo!$B$3:$Q$35,5,FALSE)</f>
        <v>1163310</v>
      </c>
      <c r="G34" s="56" t="str">
        <f>VLOOKUP(B34,Cad.RateioConsumo!$B$3:$Q$35,13,FALSE)</f>
        <v>R. 13 , 31 , QD 7 QD 7 CEP: 65010-000 PLN - VINHAIS II - SAO LUIS - MA</v>
      </c>
      <c r="H34" s="169" t="str">
        <f>VLOOKUP(A34,Medições!$E$3:$Y$95,7,FALSE)</f>
        <v>12/2025</v>
      </c>
      <c r="I34" s="170">
        <f>VLOOKUP(A34,Medições!$E$3:$Y$95,18,FALSE)</f>
        <v>857.18</v>
      </c>
      <c r="J34" s="169">
        <f>VLOOKUP(Faturas!$B34&amp;Faturas!$H34,Hist.Consum!$B$5:$V$119,11,FALSE)</f>
        <v>46028</v>
      </c>
      <c r="K34" s="40">
        <f>VLOOKUP(A34,Medições!$E$3:$Y$95,3,FALSE)</f>
        <v>3023637013</v>
      </c>
      <c r="L34" s="56" t="str">
        <f>VLOOKUP(Faturas!$A34,Medições!$E$3:$Y$86,2,FALSE)</f>
        <v>Usina 3</v>
      </c>
      <c r="M34" s="57">
        <f>VLOOKUP(Faturas!$A34,Medições!$E$3:$Z$103,11,FALSE)</f>
        <v>951.9</v>
      </c>
      <c r="N34" s="57">
        <f>VLOOKUP(Faturas!$A34,Medições!$E$3:$BA$97,24,FALSE)</f>
        <v>874.52</v>
      </c>
      <c r="O34" s="4" t="s">
        <v>232</v>
      </c>
      <c r="P34" s="4"/>
      <c r="Q34" s="4"/>
      <c r="R34" s="5"/>
      <c r="S34" s="5"/>
      <c r="T34" s="4"/>
      <c r="U34" s="4"/>
      <c r="V34" s="4"/>
      <c r="W34" s="4"/>
      <c r="X34" s="8"/>
      <c r="Y34" s="8"/>
      <c r="Z34" s="48" t="s">
        <v>23</v>
      </c>
      <c r="AA34" s="4"/>
      <c r="AB34" s="4"/>
      <c r="AC34" s="4"/>
      <c r="AD34" s="4"/>
      <c r="AE34" s="4"/>
      <c r="AF34" s="4"/>
      <c r="AG34" s="4"/>
      <c r="AH34" s="4"/>
      <c r="AI34" s="4">
        <v>0.742761</v>
      </c>
      <c r="AJ34" s="50">
        <f>VLOOKUP(AH9,Hist.Consum!$B$4:$V$109,10,FALSE)</f>
        <v>46050</v>
      </c>
      <c r="AK34" s="4">
        <v>7</v>
      </c>
      <c r="AL34" s="4"/>
      <c r="AM34" s="4"/>
      <c r="AN34" s="4"/>
      <c r="AO34" s="4"/>
      <c r="AP34" s="245"/>
      <c r="AQ34" s="4"/>
      <c r="AR34" s="4"/>
      <c r="AS34" s="4"/>
      <c r="AT34" s="4"/>
      <c r="AU34" s="4"/>
      <c r="AV34" s="4"/>
    </row>
    <row r="35" spans="1:48" ht="14.25" customHeight="1">
      <c r="A35" s="3">
        <v>31</v>
      </c>
      <c r="B35" s="56" t="str">
        <f>VLOOKUP(A35,Medições!$E$3:$Y$89,4,FALSE)</f>
        <v>3.4</v>
      </c>
      <c r="C35" s="168" t="str">
        <f>VLOOKUP(B35,Cad.RateioConsumo!$B$3:$Q$55,14,FALSE)</f>
        <v>Antonio Jose Souza Filho</v>
      </c>
      <c r="D35" s="168" t="str">
        <f>IF(VLOOKUP(B35,Cad.RateioConsumo!$B$3:$Q$35,3,FALSE)="PF","CPF","CNPJ")</f>
        <v>CNPJ</v>
      </c>
      <c r="E35" s="56" t="str">
        <f>VLOOKUP(B35,Cad.RateioConsumo!$B$3:$Q$35,4,FALSE)</f>
        <v>682.957.583-49</v>
      </c>
      <c r="F35" s="56">
        <f>VLOOKUP(B35,Cad.RateioConsumo!$B$3:$Q$35,5,FALSE)</f>
        <v>3007625048</v>
      </c>
      <c r="G35" s="56" t="str">
        <f>VLOOKUP(B35,Cad.RateioConsumo!$B$3:$Q$35,13,FALSE)</f>
        <v>R. 03 , 23 , LOT ALTO DO JAGUAREMA QD 05 LOT - ALTO DO JAGUAREMA QD 05 CEP: 65110-000 ARACAGY</v>
      </c>
      <c r="H35" s="169" t="str">
        <f>VLOOKUP(A35,Medições!$E$3:$Y$95,7,FALSE)</f>
        <v>01/2026</v>
      </c>
      <c r="I35" s="170">
        <f>VLOOKUP(A35,Medições!$E$3:$Y$95,18,FALSE)</f>
        <v>423.48</v>
      </c>
      <c r="J35" s="169">
        <f>VLOOKUP(Faturas!$B35&amp;Faturas!$H35,Hist.Consum!$B$5:$V$119,11,FALSE)</f>
        <v>46046</v>
      </c>
      <c r="K35" s="40">
        <f>VLOOKUP(A35,Medições!$E$3:$Y$95,3,FALSE)</f>
        <v>3023637013</v>
      </c>
      <c r="L35" s="56" t="str">
        <f>VLOOKUP(Faturas!$A35,Medições!$E$3:$Y$86,2,FALSE)</f>
        <v>Usina 3</v>
      </c>
      <c r="M35" s="57">
        <f>VLOOKUP(Faturas!$A35,Medições!$E$3:$Z$103,11,FALSE)</f>
        <v>425.42</v>
      </c>
      <c r="N35" s="57">
        <f>VLOOKUP(Faturas!$A35,Medições!$E$3:$BA$97,24,FALSE)</f>
        <v>1872.17</v>
      </c>
      <c r="O35" s="4" t="s">
        <v>232</v>
      </c>
      <c r="P35" s="4"/>
      <c r="Q35" s="4"/>
      <c r="R35" s="5"/>
      <c r="S35" s="43"/>
      <c r="T35" s="44"/>
      <c r="U35" s="45"/>
      <c r="V35" s="45"/>
      <c r="W35" s="45"/>
      <c r="X35" s="46"/>
      <c r="Y35" s="8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245"/>
      <c r="AQ35" s="4"/>
      <c r="AR35" s="4"/>
      <c r="AS35" s="4"/>
      <c r="AT35" s="4"/>
      <c r="AU35" s="4"/>
      <c r="AV35" s="4"/>
    </row>
    <row r="36" spans="1:48" ht="14.25" customHeight="1">
      <c r="A36" s="3">
        <v>32</v>
      </c>
      <c r="B36" s="56" t="str">
        <f>VLOOKUP(A36,Medições!$E$3:$Y$89,4,FALSE)</f>
        <v>3.3</v>
      </c>
      <c r="C36" s="168" t="str">
        <f>VLOOKUP(B36,Cad.RateioConsumo!$B$3:$Q$55,14,FALSE)</f>
        <v>Associação dos Moradores do Residencial Araçagy</v>
      </c>
      <c r="D36" s="168" t="str">
        <f>IF(VLOOKUP(B36,Cad.RateioConsumo!$B$3:$Q$35,3,FALSE)="PF","CPF","CNPJ")</f>
        <v>CNPJ</v>
      </c>
      <c r="E36" s="56" t="str">
        <f>VLOOKUP(B36,Cad.RateioConsumo!$B$3:$Q$35,4,FALSE)</f>
        <v>20.069.500/0001-97</v>
      </c>
      <c r="F36" s="56">
        <f>VLOOKUP(B36,Cad.RateioConsumo!$B$3:$Q$35,5,FALSE)</f>
        <v>3021150559</v>
      </c>
      <c r="G36" s="56" t="str">
        <f>VLOOKUP(B36,Cad.RateioConsumo!$B$3:$Q$35,13,FALSE)</f>
        <v>R. Granja , s/n , CP 26 CS 36 PS 1, cep: 65138-000 Aracagi - Raposa - MA,</v>
      </c>
      <c r="H36" s="169" t="str">
        <f>VLOOKUP(A36,Medições!$E$3:$Y$95,7,FALSE)</f>
        <v>01/2026</v>
      </c>
      <c r="I36" s="170">
        <f>VLOOKUP(A36,Medições!$E$3:$Y$95,18,FALSE)</f>
        <v>1466.48</v>
      </c>
      <c r="J36" s="169">
        <f>VLOOKUP(Faturas!$B36&amp;Faturas!$H36,Hist.Consum!$B$5:$V$119,11,FALSE)</f>
        <v>46046</v>
      </c>
      <c r="K36" s="40">
        <f>VLOOKUP(A36,Medições!$E$3:$Y$95,3,FALSE)</f>
        <v>3023637013</v>
      </c>
      <c r="L36" s="56" t="str">
        <f>VLOOKUP(Faturas!$A36,Medições!$E$3:$Y$86,2,FALSE)</f>
        <v>Usina 3</v>
      </c>
      <c r="M36" s="57">
        <f>VLOOKUP(Faturas!$A36,Medições!$E$3:$Z$103,11,FALSE)</f>
        <v>1527.53</v>
      </c>
      <c r="N36" s="57">
        <f>VLOOKUP(Faturas!$A36,Medições!$E$3:$BA$97,24,FALSE)</f>
        <v>8097.24</v>
      </c>
      <c r="O36" s="4" t="s">
        <v>232</v>
      </c>
      <c r="P36" s="4"/>
      <c r="Q36" s="4"/>
      <c r="R36" s="5"/>
      <c r="S36" s="47"/>
      <c r="T36" s="45"/>
      <c r="U36" s="45"/>
      <c r="V36" s="45"/>
      <c r="W36" s="45"/>
      <c r="X36" s="46"/>
      <c r="Y36" s="8"/>
      <c r="Z36" s="306">
        <f>VLOOKUP($T$1,Medições!$E$3:$AE$197,27,FALSE)</f>
        <v>0</v>
      </c>
      <c r="AA36" s="307"/>
      <c r="AB36" s="307"/>
      <c r="AC36" s="307"/>
      <c r="AD36" s="307"/>
      <c r="AE36" s="307"/>
      <c r="AF36" s="307"/>
      <c r="AG36" s="308"/>
      <c r="AH36" s="4"/>
      <c r="AI36" s="4"/>
      <c r="AJ36" s="4" t="s">
        <v>240</v>
      </c>
      <c r="AK36" s="4"/>
      <c r="AL36" s="4"/>
      <c r="AM36" s="4"/>
      <c r="AN36" s="4"/>
      <c r="AO36" s="4"/>
      <c r="AP36" s="245"/>
      <c r="AQ36" s="4"/>
      <c r="AR36" s="4"/>
      <c r="AS36" s="4"/>
      <c r="AT36" s="4"/>
      <c r="AU36" s="4"/>
      <c r="AV36" s="4"/>
    </row>
    <row r="37" spans="1:48" ht="9" customHeight="1">
      <c r="A37" s="3">
        <v>33</v>
      </c>
      <c r="B37" s="56" t="str">
        <f>VLOOKUP(A37,Medições!$E$3:$Y$89,4,FALSE)</f>
        <v>3.2</v>
      </c>
      <c r="C37" s="168" t="str">
        <f>VLOOKUP(B37,Cad.RateioConsumo!$B$3:$Q$55,14,FALSE)</f>
        <v>Associação dos Moradores do Residencial Araçagy</v>
      </c>
      <c r="D37" s="168" t="str">
        <f>IF(VLOOKUP(B37,Cad.RateioConsumo!$B$3:$Q$35,3,FALSE)="PF","CPF","CNPJ")</f>
        <v>CNPJ</v>
      </c>
      <c r="E37" s="56" t="str">
        <f>VLOOKUP(B37,Cad.RateioConsumo!$B$3:$Q$35,4,FALSE)</f>
        <v>20.069.500/0001-97</v>
      </c>
      <c r="F37" s="56">
        <f>VLOOKUP(B37,Cad.RateioConsumo!$B$3:$Q$35,5,FALSE)</f>
        <v>3021149593</v>
      </c>
      <c r="G37" s="56" t="str">
        <f>VLOOKUP(B37,Cad.RateioConsumo!$B$3:$Q$35,13,FALSE)</f>
        <v>R. da Agranja , 50 , CP 26 CS 36 PS 4, cep: 65138-000 Aracagi - Raposa - MA</v>
      </c>
      <c r="H37" s="169" t="str">
        <f>VLOOKUP(A37,Medições!$E$3:$Y$95,7,FALSE)</f>
        <v>01/2026</v>
      </c>
      <c r="I37" s="170">
        <f>VLOOKUP(A37,Medições!$E$3:$Y$95,18,FALSE)</f>
        <v>633.22</v>
      </c>
      <c r="J37" s="169">
        <f>VLOOKUP(Faturas!$B37&amp;Faturas!$H37,Hist.Consum!$B$5:$V$119,11,FALSE)</f>
        <v>46046</v>
      </c>
      <c r="K37" s="40">
        <f>VLOOKUP(A37,Medições!$E$3:$Y$95,3,FALSE)</f>
        <v>3023637013</v>
      </c>
      <c r="L37" s="56" t="str">
        <f>VLOOKUP(Faturas!$A37,Medições!$E$3:$Y$86,2,FALSE)</f>
        <v>Usina 3</v>
      </c>
      <c r="M37" s="57">
        <f>VLOOKUP(Faturas!$A37,Medições!$E$3:$Z$103,11,FALSE)</f>
        <v>749.49</v>
      </c>
      <c r="N37" s="57">
        <f>VLOOKUP(Faturas!$A37,Medições!$E$3:$BA$97,24,FALSE)</f>
        <v>3209.04</v>
      </c>
      <c r="O37" s="4" t="s">
        <v>232</v>
      </c>
      <c r="P37" s="4"/>
      <c r="Q37" s="4"/>
      <c r="R37" s="5"/>
      <c r="S37" s="211"/>
      <c r="T37" s="212"/>
      <c r="U37" s="212"/>
      <c r="V37" s="212"/>
      <c r="W37" s="212"/>
      <c r="X37" s="213"/>
      <c r="Y37" s="8"/>
      <c r="Z37" s="309"/>
      <c r="AA37" s="310"/>
      <c r="AB37" s="310"/>
      <c r="AC37" s="310"/>
      <c r="AD37" s="310"/>
      <c r="AE37" s="310"/>
      <c r="AF37" s="310"/>
      <c r="AG37" s="311"/>
      <c r="AH37" s="4"/>
      <c r="AI37" s="4"/>
      <c r="AJ37" s="4" t="s">
        <v>144</v>
      </c>
      <c r="AK37" s="4"/>
      <c r="AL37" s="4"/>
      <c r="AM37" s="4"/>
      <c r="AN37" s="4"/>
      <c r="AO37" s="4"/>
      <c r="AP37" s="245"/>
      <c r="AQ37" s="4"/>
      <c r="AR37" s="4"/>
      <c r="AS37" s="4"/>
      <c r="AT37" s="4"/>
      <c r="AU37" s="4"/>
      <c r="AV37" s="4"/>
    </row>
    <row r="38" spans="1:48" ht="9" customHeight="1">
      <c r="A38" s="3">
        <v>34</v>
      </c>
      <c r="B38" s="56" t="str">
        <f>VLOOKUP(A38,Medições!$E$3:$Y$89,4,FALSE)</f>
        <v>3.1</v>
      </c>
      <c r="C38" s="168" t="str">
        <f>VLOOKUP(B38,Cad.RateioConsumo!$B$3:$Q$55,14,FALSE)</f>
        <v>Associação dos Moradores do Residencial Araçagy</v>
      </c>
      <c r="D38" s="168" t="str">
        <f>IF(VLOOKUP(B38,Cad.RateioConsumo!$B$3:$Q$35,3,FALSE)="PF","CPF","CNPJ")</f>
        <v>CNPJ</v>
      </c>
      <c r="E38" s="56" t="str">
        <f>VLOOKUP(B38,Cad.RateioConsumo!$B$3:$Q$35,4,FALSE)</f>
        <v>20.069.500/0001-97</v>
      </c>
      <c r="F38" s="56">
        <f>VLOOKUP(B38,Cad.RateioConsumo!$B$3:$Q$35,5,FALSE)</f>
        <v>3021142432</v>
      </c>
      <c r="G38" s="56" t="str">
        <f>VLOOKUP(B38,Cad.RateioConsumo!$B$3:$Q$35,13,FALSE)</f>
        <v>R. da Agranja , 50 , CP 26 CS 59 PS 1, CEP: 65138-000 Aracagi - Raposa - MA</v>
      </c>
      <c r="H38" s="169" t="str">
        <f>VLOOKUP(A38,Medições!$E$3:$Y$95,7,FALSE)</f>
        <v>01/2026</v>
      </c>
      <c r="I38" s="170">
        <f>VLOOKUP(A38,Medições!$E$3:$Y$95,18,FALSE)</f>
        <v>110.17</v>
      </c>
      <c r="J38" s="169">
        <f>VLOOKUP(Faturas!$B38&amp;Faturas!$H38,Hist.Consum!$B$5:$V$119,11,FALSE)</f>
        <v>46046</v>
      </c>
      <c r="K38" s="40">
        <f>VLOOKUP(A38,Medições!$E$3:$Y$95,3,FALSE)</f>
        <v>3023637013</v>
      </c>
      <c r="L38" s="56" t="str">
        <f>VLOOKUP(Faturas!$A38,Medições!$E$3:$Y$86,2,FALSE)</f>
        <v>Usina 3</v>
      </c>
      <c r="M38" s="57">
        <f>VLOOKUP(Faturas!$A38,Medições!$E$3:$Z$103,11,FALSE)</f>
        <v>209.86</v>
      </c>
      <c r="N38" s="57">
        <f>VLOOKUP(Faturas!$A38,Medições!$E$3:$BA$97,24,FALSE)</f>
        <v>652.22</v>
      </c>
      <c r="O38" s="4" t="s">
        <v>232</v>
      </c>
      <c r="P38" s="4"/>
      <c r="Q38" s="4"/>
      <c r="R38" s="5"/>
      <c r="S38" s="5"/>
      <c r="T38" s="4"/>
      <c r="U38" s="4"/>
      <c r="V38" s="4"/>
      <c r="W38" s="4"/>
      <c r="X38" s="8"/>
      <c r="Y38" s="8"/>
      <c r="Z38" s="309"/>
      <c r="AA38" s="310"/>
      <c r="AB38" s="310"/>
      <c r="AC38" s="310"/>
      <c r="AD38" s="310"/>
      <c r="AE38" s="310"/>
      <c r="AF38" s="310"/>
      <c r="AG38" s="311"/>
      <c r="AH38" s="4"/>
      <c r="AI38" s="4"/>
      <c r="AJ38" s="4"/>
      <c r="AK38" s="4"/>
      <c r="AL38" s="4"/>
      <c r="AM38" s="4"/>
      <c r="AN38" s="4"/>
      <c r="AO38" s="4"/>
      <c r="AP38" s="245"/>
      <c r="AQ38" s="4"/>
      <c r="AR38" s="4"/>
      <c r="AS38" s="4"/>
      <c r="AT38" s="4"/>
      <c r="AU38" s="4"/>
      <c r="AV38" s="4"/>
    </row>
    <row r="39" spans="1:48" ht="14.25" customHeight="1">
      <c r="A39" s="3">
        <v>35</v>
      </c>
      <c r="B39" s="56" t="str">
        <f>VLOOKUP(A39,Medições!$E$3:$Y$89,4,FALSE)</f>
        <v>2.2</v>
      </c>
      <c r="C39" s="168" t="str">
        <f>VLOOKUP(B39,Cad.RateioConsumo!$B$3:$Q$55,14,FALSE)</f>
        <v>SORRISO SAUDE ODONTOLOGIA LTDA</v>
      </c>
      <c r="D39" s="168" t="str">
        <f>IF(VLOOKUP(B39,Cad.RateioConsumo!$B$3:$Q$35,3,FALSE)="PF","CPF","CNPJ")</f>
        <v>CNPJ</v>
      </c>
      <c r="E39" s="56" t="str">
        <f>VLOOKUP(B39,Cad.RateioConsumo!$B$3:$Q$35,4,FALSE)</f>
        <v>60.080.581/0001-40</v>
      </c>
      <c r="F39" s="56">
        <f>VLOOKUP(B39,Cad.RateioConsumo!$B$3:$Q$35,5,FALSE)</f>
        <v>3022893768</v>
      </c>
      <c r="G39" s="56" t="str">
        <f>VLOOKUP(B39,Cad.RateioConsumo!$B$3:$Q$35,13,FALSE)</f>
        <v>AV RAIMUNDO CORREIA DA SILVA , 1346 , B B CEP: 65633-641 CIDADE NOVA - TIMON - MA</v>
      </c>
      <c r="H39" s="169" t="str">
        <f>VLOOKUP(A39,Medições!$E$3:$Y$95,7,FALSE)</f>
        <v>01/2026</v>
      </c>
      <c r="I39" s="170">
        <f>VLOOKUP(A39,Medições!$E$3:$Y$95,18,FALSE)</f>
        <v>373.69</v>
      </c>
      <c r="J39" s="169">
        <f>VLOOKUP(Faturas!$B39&amp;Faturas!$H39,Hist.Consum!$B$5:$V$119,11,FALSE)</f>
        <v>0</v>
      </c>
      <c r="K39" s="40">
        <f>VLOOKUP(A39,Medições!$E$3:$Y$95,3,FALSE)</f>
        <v>3023594470</v>
      </c>
      <c r="L39" s="56" t="str">
        <f>VLOOKUP(Faturas!$A39,Medições!$E$3:$Y$86,2,FALSE)</f>
        <v>Usina 2</v>
      </c>
      <c r="M39" s="57">
        <f>VLOOKUP(Faturas!$A39,Medições!$E$3:$Z$103,11,FALSE)</f>
        <v>846.83</v>
      </c>
      <c r="N39" s="57">
        <f>VLOOKUP(Faturas!$A39,Medições!$E$3:$BA$97,24,FALSE)</f>
        <v>0</v>
      </c>
      <c r="O39" s="4" t="s">
        <v>232</v>
      </c>
      <c r="P39" s="4"/>
      <c r="Q39" s="4"/>
      <c r="R39" s="5"/>
      <c r="S39" s="5"/>
      <c r="T39" s="4"/>
      <c r="U39" s="4"/>
      <c r="V39" s="4"/>
      <c r="W39" s="4"/>
      <c r="X39" s="8"/>
      <c r="Y39" s="8"/>
      <c r="Z39" s="312"/>
      <c r="AA39" s="313"/>
      <c r="AB39" s="313"/>
      <c r="AC39" s="313"/>
      <c r="AD39" s="313"/>
      <c r="AE39" s="313"/>
      <c r="AF39" s="313"/>
      <c r="AG39" s="314"/>
      <c r="AH39" s="4"/>
      <c r="AI39" s="4"/>
      <c r="AJ39" s="68">
        <f>VLOOKUP($T$1,Medições!$E$3:$AE$197,27,FALSE)</f>
        <v>0</v>
      </c>
      <c r="AK39" s="4"/>
      <c r="AL39" s="4"/>
      <c r="AM39" s="4"/>
      <c r="AN39" s="4"/>
      <c r="AO39" s="4"/>
      <c r="AP39" s="245"/>
      <c r="AQ39" s="4"/>
      <c r="AR39" s="4"/>
      <c r="AS39" s="4"/>
      <c r="AT39" s="4"/>
      <c r="AU39" s="4"/>
      <c r="AV39" s="4"/>
    </row>
    <row r="40" spans="1:48" ht="14.25" customHeight="1">
      <c r="A40" s="3">
        <v>36</v>
      </c>
      <c r="B40" s="56" t="str">
        <f>VLOOKUP(A40,Medições!$E$3:$Y$89,4,FALSE)</f>
        <v>2.1</v>
      </c>
      <c r="C40" s="168" t="str">
        <f>VLOOKUP(B40,Cad.RateioConsumo!$B$3:$Q$55,14,FALSE)</f>
        <v>Lucas Medeiros Lima</v>
      </c>
      <c r="D40" s="168" t="str">
        <f>IF(VLOOKUP(B40,Cad.RateioConsumo!$B$3:$Q$35,3,FALSE)="PF","CPF","CNPJ")</f>
        <v>CNPJ</v>
      </c>
      <c r="E40" s="56" t="str">
        <f>VLOOKUP(B40,Cad.RateioConsumo!$B$3:$Q$35,4,FALSE)</f>
        <v>612.634.903-28</v>
      </c>
      <c r="F40" s="56">
        <f>VLOOKUP(B40,Cad.RateioConsumo!$B$3:$Q$35,5,FALSE)</f>
        <v>3002796782</v>
      </c>
      <c r="G40" s="56" t="str">
        <f>VLOOKUP(B40,Cad.RateioConsumo!$B$3:$Q$35,13,FALSE)</f>
        <v>VL ARISTOTELES , S/N , RUA FRANCISCO MARCELINO DE MEDEIROS RUA FRANCISCO MARCELINO DE MEDEIROS CEP: 65728-000 CENTRO - LIMA CAMPOS - MA</v>
      </c>
      <c r="H40" s="169" t="str">
        <f>VLOOKUP(A40,Medições!$E$3:$Y$95,7,FALSE)</f>
        <v>01/2026</v>
      </c>
      <c r="I40" s="170">
        <f>VLOOKUP(A40,Medições!$E$3:$Y$95,18,FALSE)</f>
        <v>357.64</v>
      </c>
      <c r="J40" s="169">
        <f>VLOOKUP(Faturas!$B40&amp;Faturas!$H40,Hist.Consum!$B$5:$V$119,11,FALSE)</f>
        <v>46048</v>
      </c>
      <c r="K40" s="40">
        <f>VLOOKUP(A40,Medições!$E$3:$Y$95,3,FALSE)</f>
        <v>3023594470</v>
      </c>
      <c r="L40" s="56" t="str">
        <f>VLOOKUP(Faturas!$A40,Medições!$E$3:$Y$86,2,FALSE)</f>
        <v>Usina 2</v>
      </c>
      <c r="M40" s="57">
        <f>VLOOKUP(Faturas!$A40,Medições!$E$3:$Z$103,11,FALSE)</f>
        <v>1514.36</v>
      </c>
      <c r="N40" s="57">
        <f>VLOOKUP(Faturas!$A40,Medições!$E$3:$BA$97,24,FALSE)</f>
        <v>0</v>
      </c>
      <c r="O40" s="4" t="s">
        <v>232</v>
      </c>
      <c r="P40" s="4"/>
      <c r="Q40" s="4"/>
      <c r="R40" s="214"/>
      <c r="S40" s="4"/>
      <c r="T40" s="4"/>
      <c r="U40" s="4"/>
      <c r="V40" s="4"/>
      <c r="W40" s="4"/>
      <c r="X40" s="8"/>
      <c r="Y40" s="8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245"/>
      <c r="AQ40" s="4"/>
      <c r="AR40" s="4"/>
      <c r="AS40" s="4"/>
      <c r="AT40" s="4"/>
      <c r="AU40" s="4"/>
      <c r="AV40" s="4"/>
    </row>
    <row r="41" spans="1:48" ht="14.25" customHeight="1">
      <c r="A41" s="3">
        <v>37</v>
      </c>
      <c r="B41" s="56" t="str">
        <f>VLOOKUP(A41,Medições!$E$3:$Y$89,4,FALSE)</f>
        <v>3.6</v>
      </c>
      <c r="C41" s="168" t="str">
        <f>VLOOKUP(B41,Cad.RateioConsumo!$B$3:$Q$55,14,FALSE)</f>
        <v>Patricia Maria Abreu Machado</v>
      </c>
      <c r="D41" s="168" t="str">
        <f>IF(VLOOKUP(B41,Cad.RateioConsumo!$B$3:$Q$35,3,FALSE)="PF","CPF","CNPJ")</f>
        <v>CNPJ</v>
      </c>
      <c r="E41" s="56" t="str">
        <f>VLOOKUP(B41,Cad.RateioConsumo!$B$3:$Q$35,4,FALSE)</f>
        <v>676.211.553-53</v>
      </c>
      <c r="F41" s="56">
        <f>VLOOKUP(B41,Cad.RateioConsumo!$B$3:$Q$35,5,FALSE)</f>
        <v>3006793931</v>
      </c>
      <c r="G41" s="56" t="str">
        <f>VLOOKUP(B41,Cad.RateioConsumo!$B$3:$Q$35,13,FALSE)</f>
        <v>R. MARIA F REIS , 20 , QD B CONJ BASA QD B CONJ BASA CEP: 65010-000 SAO FRANCISCO, na cidade de São Luís, Estado do Maranhão</v>
      </c>
      <c r="H41" s="169" t="str">
        <f>VLOOKUP(A41,Medições!$E$3:$Y$95,7,FALSE)</f>
        <v>01/2026</v>
      </c>
      <c r="I41" s="170">
        <f>VLOOKUP(A41,Medições!$E$3:$Y$95,18,FALSE)</f>
        <v>683.99</v>
      </c>
      <c r="J41" s="169">
        <f>VLOOKUP(Faturas!$B41&amp;Faturas!$H41,Hist.Consum!$B$5:$V$119,11,FALSE)</f>
        <v>46057</v>
      </c>
      <c r="K41" s="40">
        <f>VLOOKUP(A41,Medições!$E$3:$Y$95,3,FALSE)</f>
        <v>3023637013</v>
      </c>
      <c r="L41" s="56" t="str">
        <f>VLOOKUP(Faturas!$A41,Medições!$E$3:$Y$86,2,FALSE)</f>
        <v>Usina 3</v>
      </c>
      <c r="M41" s="57">
        <f>VLOOKUP(Faturas!$A41,Medições!$E$3:$Z$103,11,FALSE)</f>
        <v>792.32</v>
      </c>
      <c r="N41" s="57">
        <f>VLOOKUP(Faturas!$A41,Medições!$E$3:$BA$97,24,FALSE)</f>
        <v>0</v>
      </c>
      <c r="O41" s="4" t="s">
        <v>232</v>
      </c>
      <c r="P41" s="4"/>
      <c r="Q41" s="4"/>
      <c r="R41" s="214"/>
      <c r="S41" s="4"/>
      <c r="T41" s="4"/>
      <c r="U41" s="4"/>
      <c r="V41" s="4"/>
      <c r="W41" s="4"/>
      <c r="X41" s="4"/>
      <c r="Y41" s="21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245"/>
      <c r="AQ41" s="4"/>
      <c r="AR41" s="4"/>
      <c r="AS41" s="4"/>
      <c r="AT41" s="4"/>
      <c r="AU41" s="4"/>
      <c r="AV41" s="4"/>
    </row>
    <row r="42" spans="1:48" ht="14.25" customHeight="1">
      <c r="A42" s="3">
        <v>38</v>
      </c>
      <c r="B42" s="56" t="str">
        <f>VLOOKUP(A42,Medições!$E$3:$Y$89,4,FALSE)</f>
        <v>3.7</v>
      </c>
      <c r="C42" s="168" t="str">
        <f>VLOOKUP(B42,Cad.RateioConsumo!$B$3:$Q$55,14,FALSE)</f>
        <v>Fatima Abdel Hafiz Khalifa Cavalcanti</v>
      </c>
      <c r="D42" s="168" t="str">
        <f>IF(VLOOKUP(B42,Cad.RateioConsumo!$B$3:$Q$35,3,FALSE)="PF","CPF","CNPJ")</f>
        <v>CNPJ</v>
      </c>
      <c r="E42" s="56" t="str">
        <f>VLOOKUP(B42,Cad.RateioConsumo!$B$3:$Q$35,4,FALSE)</f>
        <v>840.670.553-15</v>
      </c>
      <c r="F42" s="56">
        <f>VLOOKUP(B42,Cad.RateioConsumo!$B$3:$Q$35,5,FALSE)</f>
        <v>38398091</v>
      </c>
      <c r="G42" s="56" t="str">
        <f>VLOOKUP(B42,Cad.RateioConsumo!$B$3:$Q$35,13,FALSE)</f>
        <v>Rua Nova nº63, Anil, São Luis, MA CEP: 65046-160</v>
      </c>
      <c r="H42" s="169" t="str">
        <f>VLOOKUP(A42,Medições!$E$3:$Y$95,7,FALSE)</f>
        <v>01/2026</v>
      </c>
      <c r="I42" s="170">
        <f>VLOOKUP(A42,Medições!$E$3:$Y$95,18,FALSE)</f>
        <v>1030.92</v>
      </c>
      <c r="J42" s="169">
        <f>VLOOKUP(Faturas!$B42&amp;Faturas!$H42,Hist.Consum!$B$5:$V$119,11,FALSE)</f>
        <v>46059</v>
      </c>
      <c r="K42" s="40">
        <f>VLOOKUP(A42,Medições!$E$3:$Y$95,3,FALSE)</f>
        <v>3023637013</v>
      </c>
      <c r="L42" s="56" t="str">
        <f>VLOOKUP(Faturas!$A42,Medições!$E$3:$Y$86,2,FALSE)</f>
        <v>Usina 3</v>
      </c>
      <c r="M42" s="57">
        <f>VLOOKUP(Faturas!$A42,Medições!$E$3:$Z$103,11,FALSE)</f>
        <v>1033.58</v>
      </c>
      <c r="N42" s="57">
        <f>VLOOKUP(Faturas!$A42,Medições!$E$3:$BA$97,24,FALSE)</f>
        <v>2183.4100000000003</v>
      </c>
      <c r="O42" s="4" t="s">
        <v>232</v>
      </c>
      <c r="P42" s="4"/>
      <c r="Q42" s="4"/>
      <c r="R42" s="214"/>
      <c r="S42" s="4"/>
      <c r="T42" s="4"/>
      <c r="U42" s="4"/>
      <c r="V42" s="4"/>
      <c r="W42" s="4"/>
      <c r="X42" s="4"/>
      <c r="Y42" s="214"/>
      <c r="Z42" s="315"/>
      <c r="AA42" s="307"/>
      <c r="AB42" s="307"/>
      <c r="AC42" s="307"/>
      <c r="AD42" s="307"/>
      <c r="AE42" s="307"/>
      <c r="AF42" s="307"/>
      <c r="AG42" s="308"/>
      <c r="AH42" s="4"/>
      <c r="AI42" s="4"/>
      <c r="AJ42" s="4"/>
      <c r="AK42" s="4"/>
      <c r="AL42" s="4"/>
      <c r="AM42" s="4"/>
      <c r="AN42" s="4"/>
      <c r="AO42" s="4"/>
      <c r="AP42" s="245"/>
      <c r="AQ42" s="4"/>
      <c r="AR42" s="4"/>
      <c r="AS42" s="4"/>
      <c r="AT42" s="4"/>
      <c r="AU42" s="4"/>
      <c r="AV42" s="4"/>
    </row>
    <row r="43" spans="1:48" ht="14.25" customHeight="1">
      <c r="A43" s="3">
        <v>39</v>
      </c>
      <c r="B43" s="56" t="str">
        <f>VLOOKUP(A43,Medições!$E$3:$Y$89,4,FALSE)</f>
        <v>3.6</v>
      </c>
      <c r="C43" s="168" t="str">
        <f>VLOOKUP(B43,Cad.RateioConsumo!$B$3:$Q$55,14,FALSE)</f>
        <v>Patricia Maria Abreu Machado</v>
      </c>
      <c r="D43" s="168" t="str">
        <f>IF(VLOOKUP(B43,Cad.RateioConsumo!$B$3:$Q$35,3,FALSE)="PF","CPF","CNPJ")</f>
        <v>CNPJ</v>
      </c>
      <c r="E43" s="56" t="str">
        <f>VLOOKUP(B43,Cad.RateioConsumo!$B$3:$Q$35,4,FALSE)</f>
        <v>676.211.553-53</v>
      </c>
      <c r="F43" s="56">
        <f>VLOOKUP(B43,Cad.RateioConsumo!$B$3:$Q$35,5,FALSE)</f>
        <v>3006793931</v>
      </c>
      <c r="G43" s="56" t="str">
        <f>VLOOKUP(B43,Cad.RateioConsumo!$B$3:$Q$35,13,FALSE)</f>
        <v>R. MARIA F REIS , 20 , QD B CONJ BASA QD B CONJ BASA CEP: 65010-000 SAO FRANCISCO, na cidade de São Luís, Estado do Maranhão</v>
      </c>
      <c r="H43" s="169" t="str">
        <f>VLOOKUP(A43,Medições!$E$3:$Y$95,7,FALSE)</f>
        <v>01/2026</v>
      </c>
      <c r="I43" s="170">
        <f>VLOOKUP(A43,Medições!$E$3:$Y$95,18,FALSE)</f>
        <v>683.99</v>
      </c>
      <c r="J43" s="169">
        <f>VLOOKUP(Faturas!$B43&amp;Faturas!$H43,Hist.Consum!$B$5:$V$119,11,FALSE)</f>
        <v>46057</v>
      </c>
      <c r="K43" s="40">
        <f>VLOOKUP(A43,Medições!$E$3:$Y$95,3,FALSE)</f>
        <v>3023637013</v>
      </c>
      <c r="L43" s="56" t="str">
        <f>VLOOKUP(Faturas!$A43,Medições!$E$3:$Y$86,2,FALSE)</f>
        <v>Usina 3</v>
      </c>
      <c r="M43" s="57">
        <f>VLOOKUP(Faturas!$A43,Medições!$E$3:$Z$103,11,FALSE)</f>
        <v>792.32</v>
      </c>
      <c r="N43" s="57">
        <f>VLOOKUP(Faturas!$A43,Medições!$E$3:$BA$97,24,FALSE)</f>
        <v>0</v>
      </c>
      <c r="O43" s="4" t="s">
        <v>232</v>
      </c>
      <c r="P43" s="4"/>
      <c r="Q43" s="4"/>
      <c r="R43" s="214"/>
      <c r="S43" s="4"/>
      <c r="T43" s="4"/>
      <c r="U43" s="4"/>
      <c r="V43" s="4"/>
      <c r="W43" s="4"/>
      <c r="X43" s="4"/>
      <c r="Y43" s="214"/>
      <c r="Z43" s="309"/>
      <c r="AA43" s="310"/>
      <c r="AB43" s="310"/>
      <c r="AC43" s="310"/>
      <c r="AD43" s="310"/>
      <c r="AE43" s="310"/>
      <c r="AF43" s="310"/>
      <c r="AG43" s="311"/>
      <c r="AH43" s="4"/>
      <c r="AI43" s="4"/>
      <c r="AJ43" s="4"/>
      <c r="AK43" s="4"/>
      <c r="AL43" s="4"/>
      <c r="AM43" s="4"/>
      <c r="AN43" s="4"/>
      <c r="AO43" s="4"/>
      <c r="AP43" s="245"/>
      <c r="AQ43" s="4"/>
      <c r="AR43" s="4"/>
      <c r="AS43" s="4"/>
      <c r="AT43" s="4"/>
      <c r="AU43" s="4"/>
      <c r="AV43" s="4"/>
    </row>
    <row r="44" spans="1:48" ht="14.25" customHeight="1">
      <c r="A44" s="3">
        <v>40</v>
      </c>
      <c r="B44" s="56" t="str">
        <f>VLOOKUP(A44,Medições!$E$3:$Y$89,4,FALSE)</f>
        <v>3.8</v>
      </c>
      <c r="C44" s="168" t="str">
        <f>VLOOKUP(B44,Cad.RateioConsumo!$B$3:$Q$55,14,FALSE)</f>
        <v>Ana Maria Marques De Brito</v>
      </c>
      <c r="D44" s="168" t="str">
        <f>IF(VLOOKUP(B44,Cad.RateioConsumo!$B$3:$Q$35,3,FALSE)="PF","CPF","CNPJ")</f>
        <v>CNPJ</v>
      </c>
      <c r="E44" s="56" t="str">
        <f>VLOOKUP(B44,Cad.RateioConsumo!$B$3:$Q$35,4,FALSE)</f>
        <v>920.517.663-04</v>
      </c>
      <c r="F44" s="56">
        <f>VLOOKUP(B44,Cad.RateioConsumo!$B$3:$Q$35,5,FALSE)</f>
        <v>3020257082</v>
      </c>
      <c r="G44" s="56" t="str">
        <f>VLOOKUP(B44,Cad.RateioConsumo!$B$3:$Q$35,13,FALSE)</f>
        <v>R. F , 20 , QD 5 QD 5 CEP: 65010-000 PQ ATENAS
- SAO LUIS - MA</v>
      </c>
      <c r="H44" s="169" t="str">
        <f>VLOOKUP(A44,Medições!$E$3:$Y$95,7,FALSE)</f>
        <v>01/2026</v>
      </c>
      <c r="I44" s="170">
        <f>VLOOKUP(A44,Medições!$E$3:$Y$95,18,FALSE)</f>
        <v>0</v>
      </c>
      <c r="J44" s="169">
        <f>VLOOKUP(Faturas!$B44&amp;Faturas!$H44,Hist.Consum!$B$5:$V$119,11,FALSE)</f>
        <v>46064</v>
      </c>
      <c r="K44" s="40">
        <f>VLOOKUP(A44,Medições!$E$3:$Y$95,3,FALSE)</f>
        <v>3023637013</v>
      </c>
      <c r="L44" s="56" t="str">
        <f>VLOOKUP(Faturas!$A44,Medições!$E$3:$Y$86,2,FALSE)</f>
        <v>Usina 3</v>
      </c>
      <c r="M44" s="57">
        <f>VLOOKUP(Faturas!$A44,Medições!$E$3:$Z$103,11,FALSE)</f>
        <v>1216.32</v>
      </c>
      <c r="N44" s="57">
        <f>VLOOKUP(Faturas!$A44,Medições!$E$3:$BA$97,24,FALSE)</f>
        <v>0</v>
      </c>
      <c r="O44" s="4" t="s">
        <v>232</v>
      </c>
      <c r="P44" s="4"/>
      <c r="Q44" s="4"/>
      <c r="R44" s="214"/>
      <c r="S44" s="4"/>
      <c r="T44" s="4"/>
      <c r="U44" s="4"/>
      <c r="V44" s="4"/>
      <c r="W44" s="4"/>
      <c r="X44" s="4"/>
      <c r="Y44" s="214"/>
      <c r="Z44" s="312"/>
      <c r="AA44" s="313"/>
      <c r="AB44" s="313"/>
      <c r="AC44" s="313"/>
      <c r="AD44" s="313"/>
      <c r="AE44" s="313"/>
      <c r="AF44" s="313"/>
      <c r="AG44" s="314"/>
      <c r="AH44" s="4"/>
      <c r="AI44" s="4"/>
      <c r="AJ44" s="4"/>
      <c r="AK44" s="4"/>
      <c r="AL44" s="4"/>
      <c r="AM44" s="4"/>
      <c r="AN44" s="4"/>
      <c r="AO44" s="4"/>
      <c r="AP44" s="245"/>
      <c r="AQ44" s="4"/>
      <c r="AR44" s="4"/>
      <c r="AS44" s="4"/>
      <c r="AT44" s="4"/>
      <c r="AU44" s="4"/>
      <c r="AV44" s="4"/>
    </row>
    <row r="45" spans="1:48" ht="14.25" customHeight="1">
      <c r="A45" s="3">
        <v>41</v>
      </c>
      <c r="B45" s="56" t="str">
        <f>VLOOKUP(A45,Medições!$E$3:$Y$89,4,FALSE)</f>
        <v>3.5</v>
      </c>
      <c r="C45" s="168" t="str">
        <f>VLOOKUP(B45,Cad.RateioConsumo!$B$3:$Q$55,14,FALSE)</f>
        <v>João Carlos Pereira Dutra Filho</v>
      </c>
      <c r="D45" s="168" t="str">
        <f>IF(VLOOKUP(B45,Cad.RateioConsumo!$B$3:$Q$35,3,FALSE)="PF","CPF","CNPJ")</f>
        <v>CNPJ</v>
      </c>
      <c r="E45" s="56" t="str">
        <f>VLOOKUP(B45,Cad.RateioConsumo!$B$3:$Q$35,4,FALSE)</f>
        <v>064837473-49</v>
      </c>
      <c r="F45" s="56">
        <f>VLOOKUP(B45,Cad.RateioConsumo!$B$3:$Q$35,5,FALSE)</f>
        <v>1163310</v>
      </c>
      <c r="G45" s="56" t="str">
        <f>VLOOKUP(B45,Cad.RateioConsumo!$B$3:$Q$35,13,FALSE)</f>
        <v>R. 13 , 31 , QD 7 QD 7 CEP: 65010-000 PLN - VINHAIS II - SAO LUIS - MA</v>
      </c>
      <c r="H45" s="169" t="str">
        <f>VLOOKUP(A45,Medições!$E$3:$Y$95,7,FALSE)</f>
        <v>01/2026</v>
      </c>
      <c r="I45" s="170">
        <f>VLOOKUP(A45,Medições!$E$3:$Y$95,18,FALSE)</f>
        <v>898.87</v>
      </c>
      <c r="J45" s="169">
        <f>VLOOKUP(Faturas!$B45&amp;Faturas!$H45,Hist.Consum!$B$5:$V$119,11,FALSE)</f>
        <v>46059</v>
      </c>
      <c r="K45" s="40">
        <f>VLOOKUP(A45,Medições!$E$3:$Y$95,3,FALSE)</f>
        <v>3023637013</v>
      </c>
      <c r="L45" s="56" t="str">
        <f>VLOOKUP(Faturas!$A45,Medições!$E$3:$Y$86,2,FALSE)</f>
        <v>Usina 3</v>
      </c>
      <c r="M45" s="57">
        <f>VLOOKUP(Faturas!$A45,Medições!$E$3:$Z$103,11,FALSE)</f>
        <v>865.13</v>
      </c>
      <c r="N45" s="57">
        <f>VLOOKUP(Faturas!$A45,Medições!$E$3:$BA$97,24,FALSE)</f>
        <v>1811.52</v>
      </c>
      <c r="O45" s="4" t="s">
        <v>232</v>
      </c>
      <c r="P45" s="4"/>
      <c r="Q45" s="4"/>
      <c r="R45" s="214"/>
      <c r="T45" s="4"/>
      <c r="U45" s="4"/>
      <c r="V45" s="4"/>
      <c r="W45" s="4"/>
      <c r="X45" s="4"/>
      <c r="Y45" s="21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245"/>
      <c r="AQ45" s="4"/>
      <c r="AR45" s="4"/>
      <c r="AS45" s="4"/>
      <c r="AT45" s="4"/>
      <c r="AU45" s="4"/>
      <c r="AV45" s="4"/>
    </row>
    <row r="46" spans="1:48" ht="14.25" customHeight="1">
      <c r="A46" s="3">
        <v>42</v>
      </c>
      <c r="B46" s="56" t="str">
        <f>VLOOKUP(A46,Medições!$E$3:$Y$89,4,FALSE)</f>
        <v>3.4</v>
      </c>
      <c r="C46" s="168" t="str">
        <f>VLOOKUP(B46,Cad.RateioConsumo!$B$3:$Q$55,14,FALSE)</f>
        <v>Antonio Jose Souza Filho</v>
      </c>
      <c r="D46" s="168" t="str">
        <f>IF(VLOOKUP(B46,Cad.RateioConsumo!$B$3:$Q$35,3,FALSE)="PF","CPF","CNPJ")</f>
        <v>CNPJ</v>
      </c>
      <c r="E46" s="56" t="str">
        <f>VLOOKUP(B46,Cad.RateioConsumo!$B$3:$Q$35,4,FALSE)</f>
        <v>682.957.583-49</v>
      </c>
      <c r="F46" s="56">
        <f>VLOOKUP(B46,Cad.RateioConsumo!$B$3:$Q$35,5,FALSE)</f>
        <v>3007625048</v>
      </c>
      <c r="G46" s="56" t="str">
        <f>VLOOKUP(B46,Cad.RateioConsumo!$B$3:$Q$35,13,FALSE)</f>
        <v>R. 03 , 23 , LOT ALTO DO JAGUAREMA QD 05 LOT - ALTO DO JAGUAREMA QD 05 CEP: 65110-000 ARACAGY</v>
      </c>
      <c r="H46" s="169" t="str">
        <f>VLOOKUP(A46,Medições!$E$3:$Y$95,7,FALSE)</f>
        <v>02/2026</v>
      </c>
      <c r="I46" s="170">
        <f>VLOOKUP(A46,Medições!$E$3:$Y$95,18,FALSE)</f>
        <v>397.02</v>
      </c>
      <c r="J46" s="169">
        <f>VLOOKUP(Faturas!$B46&amp;Faturas!$H46,Hist.Consum!$B$5:$V$119,11,FALSE)</f>
        <v>46077</v>
      </c>
      <c r="K46" s="40">
        <f>VLOOKUP(A46,Medições!$E$3:$Y$95,3,FALSE)</f>
        <v>3023637013</v>
      </c>
      <c r="L46" s="56" t="str">
        <f>VLOOKUP(Faturas!$A46,Medições!$E$3:$Y$86,2,FALSE)</f>
        <v>Usina 3</v>
      </c>
      <c r="M46" s="57">
        <f>VLOOKUP(Faturas!$A46,Medições!$E$3:$Z$103,11,FALSE)</f>
        <v>413.86</v>
      </c>
      <c r="N46" s="57">
        <f>VLOOKUP(Faturas!$A46,Medições!$E$3:$BA$97,24,FALSE)</f>
        <v>2286.0300000000002</v>
      </c>
      <c r="O46" s="4" t="s">
        <v>232</v>
      </c>
      <c r="P46" s="4"/>
      <c r="Q46" s="4"/>
      <c r="R46" s="214"/>
      <c r="S46" s="4"/>
      <c r="T46" s="4"/>
      <c r="U46" s="4"/>
      <c r="V46" s="4"/>
      <c r="W46" s="4"/>
      <c r="X46" s="4"/>
      <c r="Y46" s="21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245"/>
      <c r="AQ46" s="4"/>
      <c r="AR46" s="4"/>
      <c r="AS46" s="4"/>
      <c r="AT46" s="4"/>
      <c r="AU46" s="4"/>
      <c r="AV46" s="4"/>
    </row>
    <row r="47" spans="1:48" ht="14.25" customHeight="1">
      <c r="A47" s="3">
        <v>43</v>
      </c>
      <c r="B47" s="56" t="str">
        <f>VLOOKUP(A47,Medições!$E$3:$Y$89,4,FALSE)</f>
        <v>3.3</v>
      </c>
      <c r="C47" s="168" t="str">
        <f>VLOOKUP(B47,Cad.RateioConsumo!$B$3:$Q$55,14,FALSE)</f>
        <v>Associação dos Moradores do Residencial Araçagy</v>
      </c>
      <c r="D47" s="168" t="str">
        <f>IF(VLOOKUP(B47,Cad.RateioConsumo!$B$3:$Q$35,3,FALSE)="PF","CPF","CNPJ")</f>
        <v>CNPJ</v>
      </c>
      <c r="E47" s="56" t="str">
        <f>VLOOKUP(B47,Cad.RateioConsumo!$B$3:$Q$35,4,FALSE)</f>
        <v>20.069.500/0001-97</v>
      </c>
      <c r="F47" s="56">
        <f>VLOOKUP(B47,Cad.RateioConsumo!$B$3:$Q$35,5,FALSE)</f>
        <v>3021150559</v>
      </c>
      <c r="G47" s="56" t="str">
        <f>VLOOKUP(B47,Cad.RateioConsumo!$B$3:$Q$35,13,FALSE)</f>
        <v>R. Granja , s/n , CP 26 CS 36 PS 1, cep: 65138-000 Aracagi - Raposa - MA,</v>
      </c>
      <c r="H47" s="169" t="str">
        <f>VLOOKUP(A47,Medições!$E$3:$Y$95,7,FALSE)</f>
        <v>02/2026</v>
      </c>
      <c r="I47" s="170">
        <f>VLOOKUP(A47,Medições!$E$3:$Y$95,18,FALSE)</f>
        <v>1426.88</v>
      </c>
      <c r="J47" s="169">
        <f>VLOOKUP(Faturas!$B47&amp;Faturas!$H47,Hist.Consum!$B$5:$V$119,11,FALSE)</f>
        <v>46077</v>
      </c>
      <c r="K47" s="40">
        <f>VLOOKUP(A47,Medições!$E$3:$Y$95,3,FALSE)</f>
        <v>3023637013</v>
      </c>
      <c r="L47" s="56" t="str">
        <f>VLOOKUP(Faturas!$A47,Medições!$E$3:$Y$86,2,FALSE)</f>
        <v>Usina 3</v>
      </c>
      <c r="M47" s="57">
        <f>VLOOKUP(Faturas!$A47,Medições!$E$3:$Z$103,11,FALSE)</f>
        <v>1486.02</v>
      </c>
      <c r="N47" s="57">
        <f>VLOOKUP(Faturas!$A47,Medições!$E$3:$BA$97,24,FALSE)</f>
        <v>9584.64</v>
      </c>
      <c r="O47" s="4" t="s">
        <v>232</v>
      </c>
      <c r="P47" s="4"/>
      <c r="Q47" s="4"/>
      <c r="R47" s="214"/>
      <c r="S47" s="4"/>
      <c r="T47" s="4"/>
      <c r="U47" s="4"/>
      <c r="V47" s="4"/>
      <c r="W47" s="4"/>
      <c r="X47" s="4"/>
      <c r="Y47" s="21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245"/>
      <c r="AQ47" s="4"/>
      <c r="AR47" s="4"/>
      <c r="AS47" s="4"/>
      <c r="AT47" s="4"/>
      <c r="AU47" s="4"/>
      <c r="AV47" s="4"/>
    </row>
    <row r="48" spans="1:48" ht="14.25" customHeight="1">
      <c r="A48" s="3">
        <v>44</v>
      </c>
      <c r="B48" s="56" t="str">
        <f>VLOOKUP(A48,Medições!$E$3:$Y$89,4,FALSE)</f>
        <v>3.2</v>
      </c>
      <c r="C48" s="168" t="str">
        <f>VLOOKUP(B48,Cad.RateioConsumo!$B$3:$Q$55,14,FALSE)</f>
        <v>Associação dos Moradores do Residencial Araçagy</v>
      </c>
      <c r="D48" s="168" t="str">
        <f>IF(VLOOKUP(B48,Cad.RateioConsumo!$B$3:$Q$35,3,FALSE)="PF","CPF","CNPJ")</f>
        <v>CNPJ</v>
      </c>
      <c r="E48" s="56" t="str">
        <f>VLOOKUP(B48,Cad.RateioConsumo!$B$3:$Q$35,4,FALSE)</f>
        <v>20.069.500/0001-97</v>
      </c>
      <c r="F48" s="56">
        <f>VLOOKUP(B48,Cad.RateioConsumo!$B$3:$Q$35,5,FALSE)</f>
        <v>3021149593</v>
      </c>
      <c r="G48" s="56" t="str">
        <f>VLOOKUP(B48,Cad.RateioConsumo!$B$3:$Q$35,13,FALSE)</f>
        <v>R. da Agranja , 50 , CP 26 CS 36 PS 4, cep: 65138-000 Aracagi - Raposa - MA</v>
      </c>
      <c r="H48" s="169" t="str">
        <f>VLOOKUP(A48,Medições!$E$3:$Y$95,7,FALSE)</f>
        <v>02/2026</v>
      </c>
      <c r="I48" s="170">
        <f>VLOOKUP(A48,Medições!$E$3:$Y$95,18,FALSE)</f>
        <v>785.05</v>
      </c>
      <c r="J48" s="169">
        <f>VLOOKUP(Faturas!$B48&amp;Faturas!$H48,Hist.Consum!$B$5:$V$119,11,FALSE)</f>
        <v>46077</v>
      </c>
      <c r="K48" s="40">
        <f>VLOOKUP(A48,Medições!$E$3:$Y$95,3,FALSE)</f>
        <v>3023637013</v>
      </c>
      <c r="L48" s="56" t="str">
        <f>VLOOKUP(Faturas!$A48,Medições!$E$3:$Y$86,2,FALSE)</f>
        <v>Usina 3</v>
      </c>
      <c r="M48" s="57">
        <f>VLOOKUP(Faturas!$A48,Medições!$E$3:$Z$103,11,FALSE)</f>
        <v>729.12</v>
      </c>
      <c r="N48" s="57">
        <f>VLOOKUP(Faturas!$A48,Medições!$E$3:$BA$97,24,FALSE)</f>
        <v>4027.39</v>
      </c>
      <c r="O48" s="4" t="s">
        <v>232</v>
      </c>
      <c r="P48" s="4"/>
      <c r="Q48" s="4"/>
      <c r="R48" s="214"/>
      <c r="S48" s="4" t="s">
        <v>241</v>
      </c>
      <c r="T48" s="4"/>
      <c r="U48" s="4"/>
      <c r="V48" s="4"/>
      <c r="W48" s="4"/>
      <c r="X48" s="4"/>
      <c r="Y48" s="21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245"/>
      <c r="AQ48" s="4"/>
      <c r="AR48" s="4"/>
      <c r="AS48" s="4"/>
      <c r="AT48" s="4"/>
      <c r="AU48" s="4"/>
      <c r="AV48" s="4"/>
    </row>
    <row r="49" spans="1:48" ht="14.25" customHeight="1">
      <c r="A49" s="3">
        <v>45</v>
      </c>
      <c r="B49" s="56" t="str">
        <f>VLOOKUP(A49,Medições!$E$3:$Y$89,4,FALSE)</f>
        <v>3.1</v>
      </c>
      <c r="C49" s="168" t="str">
        <f>VLOOKUP(B49,Cad.RateioConsumo!$B$3:$Q$55,14,FALSE)</f>
        <v>Associação dos Moradores do Residencial Araçagy</v>
      </c>
      <c r="D49" s="168" t="str">
        <f>IF(VLOOKUP(B49,Cad.RateioConsumo!$B$3:$Q$35,3,FALSE)="PF","CPF","CNPJ")</f>
        <v>CNPJ</v>
      </c>
      <c r="E49" s="56" t="str">
        <f>VLOOKUP(B49,Cad.RateioConsumo!$B$3:$Q$35,4,FALSE)</f>
        <v>20.069.500/0001-97</v>
      </c>
      <c r="F49" s="56">
        <f>VLOOKUP(B49,Cad.RateioConsumo!$B$3:$Q$35,5,FALSE)</f>
        <v>3021142432</v>
      </c>
      <c r="G49" s="56" t="str">
        <f>VLOOKUP(B49,Cad.RateioConsumo!$B$3:$Q$35,13,FALSE)</f>
        <v>R. da Agranja , 50 , CP 26 CS 59 PS 1, CEP: 65138-000 Aracagi - Raposa - MA</v>
      </c>
      <c r="H49" s="169" t="str">
        <f>VLOOKUP(A49,Medições!$E$3:$Y$95,7,FALSE)</f>
        <v>02/2026</v>
      </c>
      <c r="I49" s="170">
        <f>VLOOKUP(A49,Medições!$E$3:$Y$95,18,FALSE)</f>
        <v>104.44</v>
      </c>
      <c r="J49" s="169">
        <f>VLOOKUP(Faturas!$B49&amp;Faturas!$H49,Hist.Consum!$B$5:$V$119,11,FALSE)</f>
        <v>46077</v>
      </c>
      <c r="K49" s="40">
        <f>VLOOKUP(A49,Medições!$E$3:$Y$95,3,FALSE)</f>
        <v>3023637013</v>
      </c>
      <c r="L49" s="56" t="str">
        <f>VLOOKUP(Faturas!$A49,Medições!$E$3:$Y$86,2,FALSE)</f>
        <v>Usina 3</v>
      </c>
      <c r="M49" s="57">
        <f>VLOOKUP(Faturas!$A49,Medições!$E$3:$Z$103,11,FALSE)</f>
        <v>204.15</v>
      </c>
      <c r="N49" s="57">
        <f>VLOOKUP(Faturas!$A49,Medições!$E$3:$BA$97,24,FALSE)</f>
        <v>761.09</v>
      </c>
      <c r="O49" s="4" t="s">
        <v>232</v>
      </c>
      <c r="P49" s="4"/>
      <c r="Q49" s="4"/>
      <c r="R49" s="214"/>
      <c r="S49" s="19" t="s">
        <v>242</v>
      </c>
      <c r="T49" s="19"/>
      <c r="U49" s="19"/>
      <c r="V49" s="19"/>
      <c r="W49" s="19"/>
      <c r="X49" s="19"/>
      <c r="Y49" s="21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245"/>
      <c r="AQ49" s="4"/>
      <c r="AR49" s="4"/>
      <c r="AS49" s="4"/>
      <c r="AT49" s="4"/>
      <c r="AU49" s="4"/>
      <c r="AV49" s="4"/>
    </row>
    <row r="50" spans="1:48" ht="14.25" customHeight="1">
      <c r="A50" s="3">
        <v>46</v>
      </c>
      <c r="B50" s="56" t="str">
        <f>VLOOKUP(A50,Medições!$E$3:$Y$89,4,FALSE)</f>
        <v>2.4</v>
      </c>
      <c r="C50" s="168">
        <f>VLOOKUP(B50,Cad.RateioConsumo!$B$3:$Q$55,14,FALSE)</f>
        <v>0</v>
      </c>
      <c r="D50" s="168" t="str">
        <f>IF(VLOOKUP(B50,Cad.RateioConsumo!$B$3:$Q$35,3,FALSE)="PF","CPF","CNPJ")</f>
        <v>CPF</v>
      </c>
      <c r="E50" s="56" t="str">
        <f>VLOOKUP(B50,Cad.RateioConsumo!$B$3:$Q$35,4,FALSE)</f>
        <v>011.087.293-20</v>
      </c>
      <c r="F50" s="56">
        <f>VLOOKUP(B50,Cad.RateioConsumo!$B$3:$Q$35,5,FALSE)</f>
        <v>3022544461</v>
      </c>
      <c r="G50" s="56" t="str">
        <f>VLOOKUP(B50,Cad.RateioConsumo!$B$3:$Q$35,13,FALSE)</f>
        <v>AL E , 801 , APT TORRE DA MANHA BRISAS LIFE APT
TORRE DA MANHA BRISAS LIFE CEP: 65070-628 ALTO
DO CALHAU - SAO LUIS - MA</v>
      </c>
      <c r="H50" s="169" t="str">
        <f>VLOOKUP(A50,Medições!$E$3:$Y$95,7,FALSE)</f>
        <v>02/2028</v>
      </c>
      <c r="I50" s="170" t="str">
        <f>VLOOKUP(A50,Medições!$E$3:$Y$95,18,FALSE)</f>
        <v/>
      </c>
      <c r="J50" s="169" t="e">
        <f>VLOOKUP(Faturas!$B50&amp;Faturas!$H50,Hist.Consum!$B$5:$V$119,11,FALSE)</f>
        <v>#N/A</v>
      </c>
      <c r="K50" s="40">
        <f>VLOOKUP(A50,Medições!$E$3:$Y$95,3,FALSE)</f>
        <v>3023594470</v>
      </c>
      <c r="L50" s="56" t="str">
        <f>VLOOKUP(Faturas!$A50,Medições!$E$3:$Y$86,2,FALSE)</f>
        <v>Usina 2</v>
      </c>
      <c r="M50" s="57" t="str">
        <f>VLOOKUP(Faturas!$A50,Medições!$E$3:$Z$103,11,FALSE)</f>
        <v xml:space="preserve"> </v>
      </c>
      <c r="N50" s="57">
        <f>VLOOKUP(Faturas!$A50,Medições!$E$3:$BA$97,24,FALSE)</f>
        <v>0</v>
      </c>
      <c r="O50" s="4" t="s">
        <v>232</v>
      </c>
      <c r="P50" s="4"/>
      <c r="Q50" s="4"/>
      <c r="R50" s="18"/>
      <c r="S50" s="19"/>
      <c r="T50" s="19"/>
      <c r="U50" s="19"/>
      <c r="V50" s="19"/>
      <c r="W50" s="19"/>
      <c r="X50" s="19"/>
      <c r="Y50" s="25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245"/>
      <c r="AQ50" s="4"/>
      <c r="AR50" s="4"/>
      <c r="AS50" s="4"/>
      <c r="AT50" s="4"/>
      <c r="AU50" s="4"/>
      <c r="AV50" s="4"/>
    </row>
    <row r="51" spans="1:48" ht="14.25" customHeight="1">
      <c r="A51" s="3">
        <v>47</v>
      </c>
      <c r="B51" s="56" t="str">
        <f>VLOOKUP(A51,Medições!$E$3:$Y$89,4,FALSE)</f>
        <v>2.3</v>
      </c>
      <c r="C51" s="168" t="str">
        <f>VLOOKUP(B51,Cad.RateioConsumo!$B$3:$Q$55,14,FALSE)</f>
        <v>José de Ribamar Aguiar Costa (Zeca)</v>
      </c>
      <c r="D51" s="168" t="str">
        <f>IF(VLOOKUP(B51,Cad.RateioConsumo!$B$3:$Q$35,3,FALSE)="PF","CPF","CNPJ")</f>
        <v>CPF</v>
      </c>
      <c r="E51" s="56" t="str">
        <f>VLOOKUP(B51,Cad.RateioConsumo!$B$3:$Q$35,4,FALSE)</f>
        <v>225.692.943-49</v>
      </c>
      <c r="F51" s="56">
        <f>VLOOKUP(B51,Cad.RateioConsumo!$B$3:$Q$35,5,FALSE)</f>
        <v>3005806061</v>
      </c>
      <c r="G51" s="56" t="str">
        <f>VLOOKUP(B51,Cad.RateioConsumo!$B$3:$Q$35,13,FALSE)</f>
        <v>R. PRINCIPAL , 10 , CEP: 65590-000 BOA VISTA -
BARREIRINHAS - MA</v>
      </c>
      <c r="H51" s="169" t="str">
        <f>VLOOKUP(A51,Medições!$E$3:$Y$95,7,FALSE)</f>
        <v>02/2027</v>
      </c>
      <c r="I51" s="170" t="str">
        <f>VLOOKUP(A51,Medições!$E$3:$Y$95,18,FALSE)</f>
        <v/>
      </c>
      <c r="J51" s="169" t="e">
        <f>VLOOKUP(Faturas!$B51&amp;Faturas!$H51,Hist.Consum!$B$5:$V$119,11,FALSE)</f>
        <v>#N/A</v>
      </c>
      <c r="K51" s="40">
        <f>VLOOKUP(A51,Medições!$E$3:$Y$95,3,FALSE)</f>
        <v>3023594470</v>
      </c>
      <c r="L51" s="56" t="str">
        <f>VLOOKUP(Faturas!$A51,Medições!$E$3:$Y$86,2,FALSE)</f>
        <v>Usina 2</v>
      </c>
      <c r="M51" s="57">
        <f>VLOOKUP(Faturas!$A51,Medições!$E$3:$Z$103,11,FALSE)</f>
        <v>171.88</v>
      </c>
      <c r="N51" s="57">
        <f>VLOOKUP(Faturas!$A51,Medições!$E$3:$BA$97,24,FALSE)</f>
        <v>0</v>
      </c>
      <c r="O51" s="4" t="s">
        <v>232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245"/>
      <c r="AQ51" s="4"/>
      <c r="AR51" s="4"/>
      <c r="AS51" s="4"/>
      <c r="AT51" s="4"/>
      <c r="AU51" s="4"/>
      <c r="AV51" s="4"/>
    </row>
    <row r="52" spans="1:48" ht="14.25" customHeight="1">
      <c r="A52" s="3">
        <v>48</v>
      </c>
      <c r="B52" s="56" t="str">
        <f>VLOOKUP(A52,Medições!$E$3:$Y$89,4,FALSE)</f>
        <v>2.2</v>
      </c>
      <c r="C52" s="168" t="str">
        <f>VLOOKUP(B52,Cad.RateioConsumo!$B$3:$Q$55,14,FALSE)</f>
        <v>SORRISO SAUDE ODONTOLOGIA LTDA</v>
      </c>
      <c r="D52" s="168" t="str">
        <f>IF(VLOOKUP(B52,Cad.RateioConsumo!$B$3:$Q$35,3,FALSE)="PF","CPF","CNPJ")</f>
        <v>CNPJ</v>
      </c>
      <c r="E52" s="56" t="str">
        <f>VLOOKUP(B52,Cad.RateioConsumo!$B$3:$Q$35,4,FALSE)</f>
        <v>60.080.581/0001-40</v>
      </c>
      <c r="F52" s="56">
        <f>VLOOKUP(B52,Cad.RateioConsumo!$B$3:$Q$35,5,FALSE)</f>
        <v>3022893768</v>
      </c>
      <c r="G52" s="56" t="str">
        <f>VLOOKUP(B52,Cad.RateioConsumo!$B$3:$Q$35,13,FALSE)</f>
        <v>AV RAIMUNDO CORREIA DA SILVA , 1346 , B B CEP: 65633-641 CIDADE NOVA - TIMON - MA</v>
      </c>
      <c r="H52" s="169" t="str">
        <f>VLOOKUP(A52,Medições!$E$3:$Y$95,7,FALSE)</f>
        <v>02/2026</v>
      </c>
      <c r="I52" s="170" t="str">
        <f>VLOOKUP(A52,Medições!$E$3:$Y$95,18,FALSE)</f>
        <v/>
      </c>
      <c r="J52" s="169" t="e">
        <f>VLOOKUP(Faturas!$B52&amp;Faturas!$H52,Hist.Consum!$B$5:$V$119,11,FALSE)</f>
        <v>#N/A</v>
      </c>
      <c r="K52" s="40">
        <f>VLOOKUP(A52,Medições!$E$3:$Y$95,3,FALSE)</f>
        <v>3023594470</v>
      </c>
      <c r="L52" s="56" t="str">
        <f>VLOOKUP(Faturas!$A52,Medições!$E$3:$Y$86,2,FALSE)</f>
        <v>Usina 2</v>
      </c>
      <c r="M52" s="57">
        <f>VLOOKUP(Faturas!$A52,Medições!$E$3:$Z$103,11,FALSE)</f>
        <v>858</v>
      </c>
      <c r="N52" s="57">
        <f>VLOOKUP(Faturas!$A52,Medições!$E$3:$BA$97,24,FALSE)</f>
        <v>0</v>
      </c>
      <c r="O52" s="4" t="s">
        <v>232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245"/>
      <c r="AQ52" s="4"/>
      <c r="AR52" s="4"/>
      <c r="AS52" s="4"/>
      <c r="AT52" s="4"/>
      <c r="AU52" s="4"/>
      <c r="AV52" s="4"/>
    </row>
    <row r="53" spans="1:48" ht="14.25" customHeight="1">
      <c r="A53" s="3">
        <v>49</v>
      </c>
      <c r="B53" s="56" t="str">
        <f>VLOOKUP(A53,Medições!$E$3:$Y$89,4,FALSE)</f>
        <v>2.1</v>
      </c>
      <c r="C53" s="168" t="str">
        <f>VLOOKUP(B53,Cad.RateioConsumo!$B$3:$Q$55,14,FALSE)</f>
        <v>Lucas Medeiros Lima</v>
      </c>
      <c r="D53" s="168" t="str">
        <f>IF(VLOOKUP(B53,Cad.RateioConsumo!$B$3:$Q$35,3,FALSE)="PF","CPF","CNPJ")</f>
        <v>CNPJ</v>
      </c>
      <c r="E53" s="56" t="str">
        <f>VLOOKUP(B53,Cad.RateioConsumo!$B$3:$Q$35,4,FALSE)</f>
        <v>612.634.903-28</v>
      </c>
      <c r="F53" s="56">
        <f>VLOOKUP(B53,Cad.RateioConsumo!$B$3:$Q$35,5,FALSE)</f>
        <v>3002796782</v>
      </c>
      <c r="G53" s="56" t="str">
        <f>VLOOKUP(B53,Cad.RateioConsumo!$B$3:$Q$35,13,FALSE)</f>
        <v>VL ARISTOTELES , S/N , RUA FRANCISCO MARCELINO DE MEDEIROS RUA FRANCISCO MARCELINO DE MEDEIROS CEP: 65728-000 CENTRO - LIMA CAMPOS - MA</v>
      </c>
      <c r="H53" s="169" t="str">
        <f>VLOOKUP(A53,Medições!$E$3:$Y$95,7,FALSE)</f>
        <v>02/2026</v>
      </c>
      <c r="I53" s="170">
        <f>VLOOKUP(A53,Medições!$E$3:$Y$95,18,FALSE)</f>
        <v>357.64</v>
      </c>
      <c r="J53" s="169">
        <f>VLOOKUP(Faturas!$B53&amp;Faturas!$H53,Hist.Consum!$B$5:$V$119,11,FALSE)</f>
        <v>0</v>
      </c>
      <c r="K53" s="40">
        <f>VLOOKUP(A53,Medições!$E$3:$Y$95,3,FALSE)</f>
        <v>3023594470</v>
      </c>
      <c r="L53" s="56" t="str">
        <f>VLOOKUP(Faturas!$A53,Medições!$E$3:$Y$86,2,FALSE)</f>
        <v>Usina 2</v>
      </c>
      <c r="M53" s="57">
        <f>VLOOKUP(Faturas!$A53,Medições!$E$3:$Z$103,11,FALSE)</f>
        <v>1534.35</v>
      </c>
      <c r="N53" s="57">
        <f>VLOOKUP(Faturas!$A53,Medições!$E$3:$BA$97,24,FALSE)</f>
        <v>0</v>
      </c>
      <c r="O53" s="4" t="s">
        <v>232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245"/>
      <c r="AQ53" s="4"/>
      <c r="AR53" s="4"/>
      <c r="AS53" s="4"/>
      <c r="AT53" s="4"/>
      <c r="AU53" s="4"/>
      <c r="AV53" s="4"/>
    </row>
    <row r="54" spans="1:48" ht="14.25" customHeight="1">
      <c r="A54" s="266">
        <v>50</v>
      </c>
      <c r="B54" s="215" t="e">
        <f>VLOOKUP(A54,Medições!$E$3:$Y$89,4,FALSE)</f>
        <v>#N/A</v>
      </c>
      <c r="C54" s="216" t="e">
        <f>VLOOKUP(B54,Cad.RateioConsumo!$B$3:$Q$55,14,FALSE)</f>
        <v>#N/A</v>
      </c>
      <c r="D54" s="216" t="e">
        <f>IF(VLOOKUP(B54,Cad.RateioConsumo!$B$3:$Q$35,3,FALSE)="PF","CPF","CNPJ")</f>
        <v>#N/A</v>
      </c>
      <c r="E54" s="215" t="e">
        <f>VLOOKUP(B54,Cad.RateioConsumo!$B$3:$Q$35,4,FALSE)</f>
        <v>#N/A</v>
      </c>
      <c r="F54" s="215" t="e">
        <f>VLOOKUP(B54,Cad.RateioConsumo!$B$3:$Q$35,5,FALSE)</f>
        <v>#N/A</v>
      </c>
      <c r="G54" s="215" t="e">
        <f>VLOOKUP(B54,Cad.RateioConsumo!$B$3:$Q$35,13,FALSE)</f>
        <v>#N/A</v>
      </c>
      <c r="H54" s="267" t="e">
        <f>VLOOKUP(A54,Medições!$E$3:$Y$95,7,FALSE)</f>
        <v>#N/A</v>
      </c>
      <c r="I54" s="268" t="e">
        <f>VLOOKUP(A54,Medições!$E$3:$Y$95,18,FALSE)</f>
        <v>#N/A</v>
      </c>
      <c r="J54" s="267" t="e">
        <f>VLOOKUP(Faturas!$B54&amp;Faturas!$H54,Hist.Consum!$B$5:$V$119,11,FALSE)</f>
        <v>#N/A</v>
      </c>
      <c r="K54" s="269" t="e">
        <f>VLOOKUP(A54,Medições!$E$3:$Y$95,3,FALSE)</f>
        <v>#N/A</v>
      </c>
      <c r="L54" s="56" t="e">
        <f>VLOOKUP(Faturas!$A54,Medições!$E$3:$Y$86,2,FALSE)</f>
        <v>#N/A</v>
      </c>
      <c r="M54" s="57" t="e">
        <f>VLOOKUP(Faturas!$A54,Medições!$E$3:$Z$103,11,FALSE)</f>
        <v>#N/A</v>
      </c>
      <c r="N54" s="57" t="e">
        <f>VLOOKUP(Faturas!$A54,Medições!$E$3:$BA$97,24,FALSE)</f>
        <v>#N/A</v>
      </c>
      <c r="O54" s="4" t="s">
        <v>232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245"/>
      <c r="AQ54" s="4"/>
      <c r="AR54" s="4"/>
      <c r="AS54" s="4"/>
      <c r="AT54" s="4"/>
      <c r="AU54" s="4"/>
      <c r="AV54" s="4"/>
    </row>
    <row r="55" spans="1:48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245"/>
      <c r="AQ55" s="4"/>
      <c r="AR55" s="4"/>
      <c r="AS55" s="4"/>
      <c r="AT55" s="4"/>
      <c r="AU55" s="4"/>
      <c r="AV55" s="4"/>
    </row>
    <row r="56" spans="1:48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245"/>
      <c r="AQ56" s="4"/>
      <c r="AR56" s="4"/>
      <c r="AS56" s="4"/>
      <c r="AT56" s="4"/>
      <c r="AU56" s="4"/>
      <c r="AV56" s="4"/>
    </row>
    <row r="57" spans="1:48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245"/>
      <c r="AQ57" s="4"/>
      <c r="AR57" s="4"/>
      <c r="AS57" s="4"/>
      <c r="AT57" s="4"/>
      <c r="AU57" s="4"/>
      <c r="AV57" s="4"/>
    </row>
    <row r="58" spans="1:4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245"/>
      <c r="AQ58" s="4"/>
      <c r="AR58" s="4"/>
      <c r="AS58" s="4"/>
      <c r="AT58" s="4"/>
      <c r="AU58" s="4"/>
      <c r="AV58" s="4"/>
    </row>
    <row r="59" spans="1:48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245"/>
      <c r="AQ59" s="4"/>
      <c r="AR59" s="4"/>
      <c r="AS59" s="4"/>
      <c r="AT59" s="4"/>
      <c r="AU59" s="4"/>
      <c r="AV59" s="4"/>
    </row>
    <row r="60" spans="1:48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245"/>
      <c r="AQ60" s="4"/>
      <c r="AR60" s="4"/>
      <c r="AS60" s="4"/>
      <c r="AT60" s="4"/>
      <c r="AU60" s="4"/>
      <c r="AV60" s="4"/>
    </row>
    <row r="61" spans="1:48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245"/>
      <c r="AQ61" s="4"/>
      <c r="AR61" s="4"/>
      <c r="AS61" s="4"/>
      <c r="AT61" s="4"/>
      <c r="AU61" s="4"/>
      <c r="AV61" s="4"/>
    </row>
    <row r="62" spans="1:48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245"/>
      <c r="AQ62" s="4"/>
      <c r="AR62" s="4"/>
      <c r="AS62" s="4"/>
      <c r="AT62" s="4"/>
      <c r="AU62" s="4"/>
      <c r="AV62" s="4"/>
    </row>
    <row r="63" spans="1:48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245"/>
      <c r="AQ63" s="4"/>
      <c r="AR63" s="4"/>
      <c r="AS63" s="4"/>
      <c r="AT63" s="4"/>
      <c r="AU63" s="4"/>
      <c r="AV63" s="4"/>
    </row>
    <row r="64" spans="1:48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245"/>
      <c r="AQ64" s="4"/>
      <c r="AR64" s="4"/>
      <c r="AS64" s="4"/>
      <c r="AT64" s="4"/>
      <c r="AU64" s="4"/>
      <c r="AV64" s="4"/>
    </row>
    <row r="65" spans="1:48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245"/>
      <c r="AQ65" s="4"/>
      <c r="AR65" s="4"/>
      <c r="AS65" s="4"/>
      <c r="AT65" s="4"/>
      <c r="AU65" s="4"/>
      <c r="AV65" s="4"/>
    </row>
    <row r="66" spans="1:48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245"/>
      <c r="AQ66" s="4"/>
      <c r="AR66" s="4"/>
      <c r="AS66" s="4"/>
      <c r="AT66" s="4"/>
      <c r="AU66" s="4"/>
      <c r="AV66" s="4"/>
    </row>
    <row r="67" spans="1:48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245"/>
      <c r="AQ67" s="4"/>
      <c r="AR67" s="4"/>
      <c r="AS67" s="4"/>
      <c r="AT67" s="4"/>
      <c r="AU67" s="4"/>
      <c r="AV67" s="4"/>
    </row>
    <row r="68" spans="1:4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245"/>
      <c r="AQ68" s="4"/>
      <c r="AR68" s="4"/>
      <c r="AS68" s="4"/>
      <c r="AT68" s="4"/>
      <c r="AU68" s="4"/>
      <c r="AV68" s="4"/>
    </row>
    <row r="69" spans="1:48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245"/>
      <c r="AQ69" s="4"/>
      <c r="AR69" s="4"/>
      <c r="AS69" s="4"/>
      <c r="AT69" s="4"/>
      <c r="AU69" s="4"/>
      <c r="AV69" s="4"/>
    </row>
    <row r="70" spans="1:48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245"/>
      <c r="AQ70" s="4"/>
      <c r="AR70" s="4"/>
      <c r="AS70" s="4"/>
      <c r="AT70" s="4"/>
      <c r="AU70" s="4"/>
      <c r="AV70" s="4"/>
    </row>
    <row r="71" spans="1:48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245"/>
      <c r="AQ71" s="4"/>
      <c r="AR71" s="4"/>
      <c r="AS71" s="4"/>
      <c r="AT71" s="4"/>
      <c r="AU71" s="4"/>
      <c r="AV71" s="4"/>
    </row>
    <row r="72" spans="1:48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245"/>
      <c r="AQ72" s="4"/>
      <c r="AR72" s="4"/>
      <c r="AS72" s="4"/>
      <c r="AT72" s="4"/>
      <c r="AU72" s="4"/>
      <c r="AV72" s="4"/>
    </row>
    <row r="73" spans="1:48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245"/>
      <c r="AQ73" s="4"/>
      <c r="AR73" s="4"/>
      <c r="AS73" s="4"/>
      <c r="AT73" s="4"/>
      <c r="AU73" s="4"/>
      <c r="AV73" s="4"/>
    </row>
    <row r="74" spans="1:48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245"/>
      <c r="AQ74" s="4"/>
      <c r="AR74" s="4"/>
      <c r="AS74" s="4"/>
      <c r="AT74" s="4"/>
      <c r="AU74" s="4"/>
      <c r="AV74" s="4"/>
    </row>
    <row r="75" spans="1:48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245"/>
      <c r="AQ75" s="4"/>
      <c r="AR75" s="4"/>
      <c r="AS75" s="4"/>
      <c r="AT75" s="4"/>
      <c r="AU75" s="4"/>
      <c r="AV75" s="4"/>
    </row>
    <row r="76" spans="1:48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245"/>
      <c r="AQ76" s="4"/>
      <c r="AR76" s="4"/>
      <c r="AS76" s="4"/>
      <c r="AT76" s="4"/>
      <c r="AU76" s="4"/>
      <c r="AV76" s="4"/>
    </row>
    <row r="77" spans="1:48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245"/>
      <c r="AQ77" s="4"/>
      <c r="AR77" s="4"/>
      <c r="AS77" s="4"/>
      <c r="AT77" s="4"/>
      <c r="AU77" s="4"/>
      <c r="AV77" s="4"/>
    </row>
    <row r="78" spans="1:4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245"/>
      <c r="AQ78" s="4"/>
      <c r="AR78" s="4"/>
      <c r="AS78" s="4"/>
      <c r="AT78" s="4"/>
      <c r="AU78" s="4"/>
      <c r="AV78" s="4"/>
    </row>
    <row r="79" spans="1:48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245"/>
      <c r="AQ79" s="4"/>
      <c r="AR79" s="4"/>
      <c r="AS79" s="4"/>
      <c r="AT79" s="4"/>
      <c r="AU79" s="4"/>
      <c r="AV79" s="4"/>
    </row>
    <row r="80" spans="1:48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245"/>
      <c r="AQ80" s="4"/>
      <c r="AR80" s="4"/>
      <c r="AS80" s="4"/>
      <c r="AT80" s="4"/>
      <c r="AU80" s="4"/>
      <c r="AV80" s="4"/>
    </row>
    <row r="81" spans="1:48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245"/>
      <c r="AQ81" s="4"/>
      <c r="AR81" s="4"/>
      <c r="AS81" s="4"/>
      <c r="AT81" s="4"/>
      <c r="AU81" s="4"/>
      <c r="AV81" s="4"/>
    </row>
    <row r="82" spans="1:48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245"/>
      <c r="AQ82" s="4"/>
      <c r="AR82" s="4"/>
      <c r="AS82" s="4"/>
      <c r="AT82" s="4"/>
      <c r="AU82" s="4"/>
      <c r="AV82" s="4"/>
    </row>
    <row r="83" spans="1:48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245"/>
      <c r="AQ83" s="4"/>
      <c r="AR83" s="4"/>
      <c r="AS83" s="4"/>
      <c r="AT83" s="4"/>
      <c r="AU83" s="4"/>
      <c r="AV83" s="4"/>
    </row>
    <row r="84" spans="1:48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245"/>
      <c r="AQ84" s="4"/>
      <c r="AR84" s="4"/>
      <c r="AS84" s="4"/>
      <c r="AT84" s="4"/>
      <c r="AU84" s="4"/>
      <c r="AV84" s="4"/>
    </row>
    <row r="85" spans="1:48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245"/>
      <c r="AQ85" s="4"/>
      <c r="AR85" s="4"/>
      <c r="AS85" s="4"/>
      <c r="AT85" s="4"/>
      <c r="AU85" s="4"/>
      <c r="AV85" s="4"/>
    </row>
    <row r="86" spans="1:48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245"/>
      <c r="AQ86" s="4"/>
      <c r="AR86" s="4"/>
      <c r="AS86" s="4"/>
      <c r="AT86" s="4"/>
      <c r="AU86" s="4"/>
      <c r="AV86" s="4"/>
    </row>
    <row r="87" spans="1:48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245"/>
      <c r="AQ87" s="4"/>
      <c r="AR87" s="4"/>
      <c r="AS87" s="4"/>
      <c r="AT87" s="4"/>
      <c r="AU87" s="4"/>
      <c r="AV87" s="4"/>
    </row>
    <row r="88" spans="1:4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245"/>
      <c r="AQ88" s="4"/>
      <c r="AR88" s="4"/>
      <c r="AS88" s="4"/>
      <c r="AT88" s="4"/>
      <c r="AU88" s="4"/>
      <c r="AV88" s="4"/>
    </row>
    <row r="89" spans="1:48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245"/>
      <c r="AQ89" s="4"/>
      <c r="AR89" s="4"/>
      <c r="AS89" s="4"/>
      <c r="AT89" s="4"/>
      <c r="AU89" s="4"/>
      <c r="AV89" s="4"/>
    </row>
    <row r="90" spans="1:48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245"/>
      <c r="AQ90" s="4"/>
      <c r="AR90" s="4"/>
      <c r="AS90" s="4"/>
      <c r="AT90" s="4"/>
      <c r="AU90" s="4"/>
      <c r="AV90" s="4"/>
    </row>
    <row r="91" spans="1:48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245"/>
      <c r="AQ91" s="4"/>
      <c r="AR91" s="4"/>
      <c r="AS91" s="4"/>
      <c r="AT91" s="4"/>
      <c r="AU91" s="4"/>
      <c r="AV91" s="4"/>
    </row>
    <row r="92" spans="1:48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245"/>
      <c r="AQ92" s="4"/>
      <c r="AR92" s="4"/>
      <c r="AS92" s="4"/>
      <c r="AT92" s="4"/>
      <c r="AU92" s="4"/>
      <c r="AV92" s="4"/>
    </row>
    <row r="93" spans="1:48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245"/>
      <c r="AQ93" s="4"/>
      <c r="AR93" s="4"/>
      <c r="AS93" s="4"/>
      <c r="AT93" s="4"/>
      <c r="AU93" s="4"/>
      <c r="AV93" s="4"/>
    </row>
    <row r="94" spans="1:48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245"/>
      <c r="AQ94" s="4"/>
      <c r="AR94" s="4"/>
      <c r="AS94" s="4"/>
      <c r="AT94" s="4"/>
      <c r="AU94" s="4"/>
      <c r="AV94" s="4"/>
    </row>
    <row r="95" spans="1:48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245"/>
      <c r="AQ95" s="4"/>
      <c r="AR95" s="4"/>
      <c r="AS95" s="4"/>
      <c r="AT95" s="4"/>
      <c r="AU95" s="4"/>
      <c r="AV95" s="4"/>
    </row>
    <row r="96" spans="1:48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245"/>
      <c r="AQ96" s="4"/>
      <c r="AR96" s="4"/>
      <c r="AS96" s="4"/>
      <c r="AT96" s="4"/>
      <c r="AU96" s="4"/>
      <c r="AV96" s="4"/>
    </row>
    <row r="97" spans="1:48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245"/>
      <c r="AQ97" s="4"/>
      <c r="AR97" s="4"/>
      <c r="AS97" s="4"/>
      <c r="AT97" s="4"/>
      <c r="AU97" s="4"/>
      <c r="AV97" s="4"/>
    </row>
    <row r="98" spans="1:4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245"/>
      <c r="AQ98" s="4"/>
      <c r="AR98" s="4"/>
      <c r="AS98" s="4"/>
      <c r="AT98" s="4"/>
      <c r="AU98" s="4"/>
      <c r="AV98" s="4"/>
    </row>
    <row r="99" spans="1:48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245"/>
      <c r="AQ99" s="4"/>
      <c r="AR99" s="4"/>
      <c r="AS99" s="4"/>
      <c r="AT99" s="4"/>
      <c r="AU99" s="4"/>
      <c r="AV99" s="4"/>
    </row>
    <row r="100" spans="1:48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245"/>
      <c r="AQ100" s="4"/>
      <c r="AR100" s="4"/>
      <c r="AS100" s="4"/>
      <c r="AT100" s="4"/>
      <c r="AU100" s="4"/>
      <c r="AV100" s="4"/>
    </row>
    <row r="101" spans="1:48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245"/>
      <c r="AQ101" s="4"/>
      <c r="AR101" s="4"/>
      <c r="AS101" s="4"/>
      <c r="AT101" s="4"/>
      <c r="AU101" s="4"/>
      <c r="AV101" s="4"/>
    </row>
    <row r="102" spans="1:48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245"/>
      <c r="AQ102" s="4"/>
      <c r="AR102" s="4"/>
      <c r="AS102" s="4"/>
      <c r="AT102" s="4"/>
      <c r="AU102" s="4"/>
      <c r="AV102" s="4"/>
    </row>
    <row r="103" spans="1:48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245"/>
      <c r="AQ103" s="4"/>
      <c r="AR103" s="4"/>
      <c r="AS103" s="4"/>
      <c r="AT103" s="4"/>
      <c r="AU103" s="4"/>
      <c r="AV103" s="4"/>
    </row>
    <row r="104" spans="1:48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245"/>
      <c r="AQ104" s="4"/>
      <c r="AR104" s="4"/>
      <c r="AS104" s="4"/>
      <c r="AT104" s="4"/>
      <c r="AU104" s="4"/>
      <c r="AV104" s="4"/>
    </row>
    <row r="105" spans="1:48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245"/>
      <c r="AQ105" s="4"/>
      <c r="AR105" s="4"/>
      <c r="AS105" s="4"/>
      <c r="AT105" s="4"/>
      <c r="AU105" s="4"/>
      <c r="AV105" s="4"/>
    </row>
    <row r="106" spans="1:48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245"/>
      <c r="AQ106" s="4"/>
      <c r="AR106" s="4"/>
      <c r="AS106" s="4"/>
      <c r="AT106" s="4"/>
      <c r="AU106" s="4"/>
      <c r="AV106" s="4"/>
    </row>
    <row r="107" spans="1:48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245"/>
      <c r="AQ107" s="4"/>
      <c r="AR107" s="4"/>
      <c r="AS107" s="4"/>
      <c r="AT107" s="4"/>
      <c r="AU107" s="4"/>
      <c r="AV107" s="4"/>
    </row>
    <row r="108" spans="1:4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245"/>
      <c r="AQ108" s="4"/>
      <c r="AR108" s="4"/>
      <c r="AS108" s="4"/>
      <c r="AT108" s="4"/>
      <c r="AU108" s="4"/>
      <c r="AV108" s="4"/>
    </row>
    <row r="109" spans="1:48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245"/>
      <c r="AQ109" s="4"/>
      <c r="AR109" s="4"/>
      <c r="AS109" s="4"/>
      <c r="AT109" s="4"/>
      <c r="AU109" s="4"/>
      <c r="AV109" s="4"/>
    </row>
    <row r="110" spans="1:48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245"/>
      <c r="AQ110" s="4"/>
      <c r="AR110" s="4"/>
      <c r="AS110" s="4"/>
      <c r="AT110" s="4"/>
      <c r="AU110" s="4"/>
      <c r="AV110" s="4"/>
    </row>
    <row r="111" spans="1:48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245"/>
      <c r="AQ111" s="4"/>
      <c r="AR111" s="4"/>
      <c r="AS111" s="4"/>
      <c r="AT111" s="4"/>
      <c r="AU111" s="4"/>
      <c r="AV111" s="4"/>
    </row>
    <row r="112" spans="1:48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245"/>
      <c r="AQ112" s="4"/>
      <c r="AR112" s="4"/>
      <c r="AS112" s="4"/>
      <c r="AT112" s="4"/>
      <c r="AU112" s="4"/>
      <c r="AV112" s="4"/>
    </row>
    <row r="113" spans="1:48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245"/>
      <c r="AQ113" s="4"/>
      <c r="AR113" s="4"/>
      <c r="AS113" s="4"/>
      <c r="AT113" s="4"/>
      <c r="AU113" s="4"/>
      <c r="AV113" s="4"/>
    </row>
    <row r="114" spans="1:48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245"/>
      <c r="AQ114" s="4"/>
      <c r="AR114" s="4"/>
      <c r="AS114" s="4"/>
      <c r="AT114" s="4"/>
      <c r="AU114" s="4"/>
      <c r="AV114" s="4"/>
    </row>
    <row r="115" spans="1:48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245"/>
      <c r="AQ115" s="4"/>
      <c r="AR115" s="4"/>
      <c r="AS115" s="4"/>
      <c r="AT115" s="4"/>
      <c r="AU115" s="4"/>
      <c r="AV115" s="4"/>
    </row>
    <row r="116" spans="1:48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245"/>
      <c r="AQ116" s="4"/>
      <c r="AR116" s="4"/>
      <c r="AS116" s="4"/>
      <c r="AT116" s="4"/>
      <c r="AU116" s="4"/>
      <c r="AV116" s="4"/>
    </row>
    <row r="117" spans="1:48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245"/>
      <c r="AQ117" s="4"/>
      <c r="AR117" s="4"/>
      <c r="AS117" s="4"/>
      <c r="AT117" s="4"/>
      <c r="AU117" s="4"/>
      <c r="AV117" s="4"/>
    </row>
    <row r="118" spans="1:4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245"/>
      <c r="AQ118" s="4"/>
      <c r="AR118" s="4"/>
      <c r="AS118" s="4"/>
      <c r="AT118" s="4"/>
      <c r="AU118" s="4"/>
      <c r="AV118" s="4"/>
    </row>
    <row r="119" spans="1:48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245"/>
      <c r="AQ119" s="4"/>
      <c r="AR119" s="4"/>
      <c r="AS119" s="4"/>
      <c r="AT119" s="4"/>
      <c r="AU119" s="4"/>
      <c r="AV119" s="4"/>
    </row>
    <row r="120" spans="1:48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245"/>
      <c r="AQ120" s="4"/>
      <c r="AR120" s="4"/>
      <c r="AS120" s="4"/>
      <c r="AT120" s="4"/>
      <c r="AU120" s="4"/>
      <c r="AV120" s="4"/>
    </row>
    <row r="121" spans="1:48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245"/>
      <c r="AQ121" s="4"/>
      <c r="AR121" s="4"/>
      <c r="AS121" s="4"/>
      <c r="AT121" s="4"/>
      <c r="AU121" s="4"/>
      <c r="AV121" s="4"/>
    </row>
    <row r="122" spans="1:48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245"/>
      <c r="AQ122" s="4"/>
      <c r="AR122" s="4"/>
      <c r="AS122" s="4"/>
      <c r="AT122" s="4"/>
      <c r="AU122" s="4"/>
      <c r="AV122" s="4"/>
    </row>
    <row r="123" spans="1:48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245"/>
      <c r="AQ123" s="4"/>
      <c r="AR123" s="4"/>
      <c r="AS123" s="4"/>
      <c r="AT123" s="4"/>
      <c r="AU123" s="4"/>
      <c r="AV123" s="4"/>
    </row>
    <row r="124" spans="1:48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245"/>
      <c r="AQ124" s="4"/>
      <c r="AR124" s="4"/>
      <c r="AS124" s="4"/>
      <c r="AT124" s="4"/>
      <c r="AU124" s="4"/>
      <c r="AV124" s="4"/>
    </row>
    <row r="125" spans="1:48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245"/>
      <c r="AQ125" s="4"/>
      <c r="AR125" s="4"/>
      <c r="AS125" s="4"/>
      <c r="AT125" s="4"/>
      <c r="AU125" s="4"/>
      <c r="AV125" s="4"/>
    </row>
    <row r="126" spans="1:48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245"/>
      <c r="AQ126" s="4"/>
      <c r="AR126" s="4"/>
      <c r="AS126" s="4"/>
      <c r="AT126" s="4"/>
      <c r="AU126" s="4"/>
      <c r="AV126" s="4"/>
    </row>
    <row r="127" spans="1:48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245"/>
      <c r="AQ127" s="4"/>
      <c r="AR127" s="4"/>
      <c r="AS127" s="4"/>
      <c r="AT127" s="4"/>
      <c r="AU127" s="4"/>
      <c r="AV127" s="4"/>
    </row>
    <row r="128" spans="1:4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245"/>
      <c r="AQ128" s="4"/>
      <c r="AR128" s="4"/>
      <c r="AS128" s="4"/>
      <c r="AT128" s="4"/>
      <c r="AU128" s="4"/>
      <c r="AV128" s="4"/>
    </row>
    <row r="129" spans="1:48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245"/>
      <c r="AQ129" s="4"/>
      <c r="AR129" s="4"/>
      <c r="AS129" s="4"/>
      <c r="AT129" s="4"/>
      <c r="AU129" s="4"/>
      <c r="AV129" s="4"/>
    </row>
    <row r="130" spans="1:48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245"/>
      <c r="AQ130" s="4"/>
      <c r="AR130" s="4"/>
      <c r="AS130" s="4"/>
      <c r="AT130" s="4"/>
      <c r="AU130" s="4"/>
      <c r="AV130" s="4"/>
    </row>
    <row r="131" spans="1:48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245"/>
      <c r="AQ131" s="4"/>
      <c r="AR131" s="4"/>
      <c r="AS131" s="4"/>
      <c r="AT131" s="4"/>
      <c r="AU131" s="4"/>
      <c r="AV131" s="4"/>
    </row>
    <row r="132" spans="1:48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245"/>
      <c r="AQ132" s="4"/>
      <c r="AR132" s="4"/>
      <c r="AS132" s="4"/>
      <c r="AT132" s="4"/>
      <c r="AU132" s="4"/>
      <c r="AV132" s="4"/>
    </row>
    <row r="133" spans="1:48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245"/>
      <c r="AQ133" s="4"/>
      <c r="AR133" s="4"/>
      <c r="AS133" s="4"/>
      <c r="AT133" s="4"/>
      <c r="AU133" s="4"/>
      <c r="AV133" s="4"/>
    </row>
    <row r="134" spans="1:48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245"/>
      <c r="AQ134" s="4"/>
      <c r="AR134" s="4"/>
      <c r="AS134" s="4"/>
      <c r="AT134" s="4"/>
      <c r="AU134" s="4"/>
      <c r="AV134" s="4"/>
    </row>
    <row r="135" spans="1:48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245"/>
      <c r="AQ135" s="4"/>
      <c r="AR135" s="4"/>
      <c r="AS135" s="4"/>
      <c r="AT135" s="4"/>
      <c r="AU135" s="4"/>
      <c r="AV135" s="4"/>
    </row>
    <row r="136" spans="1:48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245"/>
      <c r="AQ136" s="4"/>
      <c r="AR136" s="4"/>
      <c r="AS136" s="4"/>
      <c r="AT136" s="4"/>
      <c r="AU136" s="4"/>
      <c r="AV136" s="4"/>
    </row>
    <row r="137" spans="1:48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245"/>
      <c r="AQ137" s="4"/>
      <c r="AR137" s="4"/>
      <c r="AS137" s="4"/>
      <c r="AT137" s="4"/>
      <c r="AU137" s="4"/>
      <c r="AV137" s="4"/>
    </row>
    <row r="138" spans="1:4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245"/>
      <c r="AQ138" s="4"/>
      <c r="AR138" s="4"/>
      <c r="AS138" s="4"/>
      <c r="AT138" s="4"/>
      <c r="AU138" s="4"/>
      <c r="AV138" s="4"/>
    </row>
    <row r="139" spans="1:48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245"/>
      <c r="AQ139" s="4"/>
      <c r="AR139" s="4"/>
      <c r="AS139" s="4"/>
      <c r="AT139" s="4"/>
      <c r="AU139" s="4"/>
      <c r="AV139" s="4"/>
    </row>
    <row r="140" spans="1:48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245"/>
      <c r="AQ140" s="4"/>
      <c r="AR140" s="4"/>
      <c r="AS140" s="4"/>
      <c r="AT140" s="4"/>
      <c r="AU140" s="4"/>
      <c r="AV140" s="4"/>
    </row>
    <row r="141" spans="1:48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245"/>
      <c r="AQ141" s="4"/>
      <c r="AR141" s="4"/>
      <c r="AS141" s="4"/>
      <c r="AT141" s="4"/>
      <c r="AU141" s="4"/>
      <c r="AV141" s="4"/>
    </row>
    <row r="142" spans="1:48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245"/>
      <c r="AQ142" s="4"/>
      <c r="AR142" s="4"/>
      <c r="AS142" s="4"/>
      <c r="AT142" s="4"/>
      <c r="AU142" s="4"/>
      <c r="AV142" s="4"/>
    </row>
    <row r="143" spans="1:48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245"/>
      <c r="AQ143" s="4"/>
      <c r="AR143" s="4"/>
      <c r="AS143" s="4"/>
      <c r="AT143" s="4"/>
      <c r="AU143" s="4"/>
      <c r="AV143" s="4"/>
    </row>
    <row r="144" spans="1:48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245"/>
      <c r="AQ144" s="4"/>
      <c r="AR144" s="4"/>
      <c r="AS144" s="4"/>
      <c r="AT144" s="4"/>
      <c r="AU144" s="4"/>
      <c r="AV144" s="4"/>
    </row>
    <row r="145" spans="1:48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245"/>
      <c r="AQ145" s="4"/>
      <c r="AR145" s="4"/>
      <c r="AS145" s="4"/>
      <c r="AT145" s="4"/>
      <c r="AU145" s="4"/>
      <c r="AV145" s="4"/>
    </row>
    <row r="146" spans="1:48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245"/>
      <c r="AQ146" s="4"/>
      <c r="AR146" s="4"/>
      <c r="AS146" s="4"/>
      <c r="AT146" s="4"/>
      <c r="AU146" s="4"/>
      <c r="AV146" s="4"/>
    </row>
    <row r="147" spans="1:48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245"/>
      <c r="AQ147" s="4"/>
      <c r="AR147" s="4"/>
      <c r="AS147" s="4"/>
      <c r="AT147" s="4"/>
      <c r="AU147" s="4"/>
      <c r="AV147" s="4"/>
    </row>
    <row r="148" spans="1: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245"/>
      <c r="AQ148" s="4"/>
      <c r="AR148" s="4"/>
      <c r="AS148" s="4"/>
      <c r="AT148" s="4"/>
      <c r="AU148" s="4"/>
      <c r="AV148" s="4"/>
    </row>
    <row r="149" spans="1:48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245"/>
      <c r="AQ149" s="4"/>
      <c r="AR149" s="4"/>
      <c r="AS149" s="4"/>
      <c r="AT149" s="4"/>
      <c r="AU149" s="4"/>
      <c r="AV149" s="4"/>
    </row>
    <row r="150" spans="1:48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245"/>
      <c r="AQ150" s="4"/>
      <c r="AR150" s="4"/>
      <c r="AS150" s="4"/>
      <c r="AT150" s="4"/>
      <c r="AU150" s="4"/>
      <c r="AV150" s="4"/>
    </row>
    <row r="151" spans="1:48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245"/>
      <c r="AQ151" s="4"/>
      <c r="AR151" s="4"/>
      <c r="AS151" s="4"/>
      <c r="AT151" s="4"/>
      <c r="AU151" s="4"/>
      <c r="AV151" s="4"/>
    </row>
    <row r="152" spans="1:48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245"/>
      <c r="AQ152" s="4"/>
      <c r="AR152" s="4"/>
      <c r="AS152" s="4"/>
      <c r="AT152" s="4"/>
      <c r="AU152" s="4"/>
      <c r="AV152" s="4"/>
    </row>
    <row r="153" spans="1:48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245"/>
      <c r="AQ153" s="4"/>
      <c r="AR153" s="4"/>
      <c r="AS153" s="4"/>
      <c r="AT153" s="4"/>
      <c r="AU153" s="4"/>
      <c r="AV153" s="4"/>
    </row>
    <row r="154" spans="1:48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245"/>
      <c r="AQ154" s="4"/>
      <c r="AR154" s="4"/>
      <c r="AS154" s="4"/>
      <c r="AT154" s="4"/>
      <c r="AU154" s="4"/>
      <c r="AV154" s="4"/>
    </row>
    <row r="155" spans="1:48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245"/>
      <c r="AQ155" s="4"/>
      <c r="AR155" s="4"/>
      <c r="AS155" s="4"/>
      <c r="AT155" s="4"/>
      <c r="AU155" s="4"/>
      <c r="AV155" s="4"/>
    </row>
    <row r="156" spans="1:48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245"/>
      <c r="AQ156" s="4"/>
      <c r="AR156" s="4"/>
      <c r="AS156" s="4"/>
      <c r="AT156" s="4"/>
      <c r="AU156" s="4"/>
      <c r="AV156" s="4"/>
    </row>
    <row r="157" spans="1:48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245"/>
      <c r="AQ157" s="4"/>
      <c r="AR157" s="4"/>
      <c r="AS157" s="4"/>
      <c r="AT157" s="4"/>
      <c r="AU157" s="4"/>
      <c r="AV157" s="4"/>
    </row>
    <row r="158" spans="1:4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245"/>
      <c r="AQ158" s="4"/>
      <c r="AR158" s="4"/>
      <c r="AS158" s="4"/>
      <c r="AT158" s="4"/>
      <c r="AU158" s="4"/>
      <c r="AV158" s="4"/>
    </row>
    <row r="159" spans="1:48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245"/>
      <c r="AQ159" s="4"/>
      <c r="AR159" s="4"/>
      <c r="AS159" s="4"/>
      <c r="AT159" s="4"/>
      <c r="AU159" s="4"/>
      <c r="AV159" s="4"/>
    </row>
    <row r="160" spans="1:48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245"/>
      <c r="AQ160" s="4"/>
      <c r="AR160" s="4"/>
      <c r="AS160" s="4"/>
      <c r="AT160" s="4"/>
      <c r="AU160" s="4"/>
      <c r="AV160" s="4"/>
    </row>
    <row r="161" spans="1:48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245"/>
      <c r="AQ161" s="4"/>
      <c r="AR161" s="4"/>
      <c r="AS161" s="4"/>
      <c r="AT161" s="4"/>
      <c r="AU161" s="4"/>
      <c r="AV161" s="4"/>
    </row>
    <row r="162" spans="1:48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245"/>
      <c r="AQ162" s="4"/>
      <c r="AR162" s="4"/>
      <c r="AS162" s="4"/>
      <c r="AT162" s="4"/>
      <c r="AU162" s="4"/>
      <c r="AV162" s="4"/>
    </row>
    <row r="163" spans="1:48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245"/>
      <c r="AQ163" s="4"/>
      <c r="AR163" s="4"/>
      <c r="AS163" s="4"/>
      <c r="AT163" s="4"/>
      <c r="AU163" s="4"/>
      <c r="AV163" s="4"/>
    </row>
    <row r="164" spans="1:48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245"/>
      <c r="AQ164" s="4"/>
      <c r="AR164" s="4"/>
      <c r="AS164" s="4"/>
      <c r="AT164" s="4"/>
      <c r="AU164" s="4"/>
      <c r="AV164" s="4"/>
    </row>
    <row r="165" spans="1:48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245"/>
      <c r="AQ165" s="4"/>
      <c r="AR165" s="4"/>
      <c r="AS165" s="4"/>
      <c r="AT165" s="4"/>
      <c r="AU165" s="4"/>
      <c r="AV165" s="4"/>
    </row>
    <row r="166" spans="1:48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245"/>
      <c r="AQ166" s="4"/>
      <c r="AR166" s="4"/>
      <c r="AS166" s="4"/>
      <c r="AT166" s="4"/>
      <c r="AU166" s="4"/>
      <c r="AV166" s="4"/>
    </row>
    <row r="167" spans="1:48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245"/>
      <c r="AQ167" s="4"/>
      <c r="AR167" s="4"/>
      <c r="AS167" s="4"/>
      <c r="AT167" s="4"/>
      <c r="AU167" s="4"/>
      <c r="AV167" s="4"/>
    </row>
    <row r="168" spans="1:4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245"/>
      <c r="AQ168" s="4"/>
      <c r="AR168" s="4"/>
      <c r="AS168" s="4"/>
      <c r="AT168" s="4"/>
      <c r="AU168" s="4"/>
      <c r="AV168" s="4"/>
    </row>
    <row r="169" spans="1:48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245"/>
      <c r="AQ169" s="4"/>
      <c r="AR169" s="4"/>
      <c r="AS169" s="4"/>
      <c r="AT169" s="4"/>
      <c r="AU169" s="4"/>
      <c r="AV169" s="4"/>
    </row>
    <row r="170" spans="1:48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245"/>
      <c r="AQ170" s="4"/>
      <c r="AR170" s="4"/>
      <c r="AS170" s="4"/>
      <c r="AT170" s="4"/>
      <c r="AU170" s="4"/>
      <c r="AV170" s="4"/>
    </row>
    <row r="171" spans="1:48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245"/>
      <c r="AQ171" s="4"/>
      <c r="AR171" s="4"/>
      <c r="AS171" s="4"/>
      <c r="AT171" s="4"/>
      <c r="AU171" s="4"/>
      <c r="AV171" s="4"/>
    </row>
    <row r="172" spans="1:48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245"/>
      <c r="AQ172" s="4"/>
      <c r="AR172" s="4"/>
      <c r="AS172" s="4"/>
      <c r="AT172" s="4"/>
      <c r="AU172" s="4"/>
      <c r="AV172" s="4"/>
    </row>
    <row r="173" spans="1:48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245"/>
      <c r="AQ173" s="4"/>
      <c r="AR173" s="4"/>
      <c r="AS173" s="4"/>
      <c r="AT173" s="4"/>
      <c r="AU173" s="4"/>
      <c r="AV173" s="4"/>
    </row>
    <row r="174" spans="1:48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245"/>
      <c r="AQ174" s="4"/>
      <c r="AR174" s="4"/>
      <c r="AS174" s="4"/>
      <c r="AT174" s="4"/>
      <c r="AU174" s="4"/>
      <c r="AV174" s="4"/>
    </row>
    <row r="175" spans="1:48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245"/>
      <c r="AQ175" s="4"/>
      <c r="AR175" s="4"/>
      <c r="AS175" s="4"/>
      <c r="AT175" s="4"/>
      <c r="AU175" s="4"/>
      <c r="AV175" s="4"/>
    </row>
    <row r="176" spans="1:48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245"/>
      <c r="AQ176" s="4"/>
      <c r="AR176" s="4"/>
      <c r="AS176" s="4"/>
      <c r="AT176" s="4"/>
      <c r="AU176" s="4"/>
      <c r="AV176" s="4"/>
    </row>
    <row r="177" spans="1:48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245"/>
      <c r="AQ177" s="4"/>
      <c r="AR177" s="4"/>
      <c r="AS177" s="4"/>
      <c r="AT177" s="4"/>
      <c r="AU177" s="4"/>
      <c r="AV177" s="4"/>
    </row>
    <row r="178" spans="1:4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245"/>
      <c r="AQ178" s="4"/>
      <c r="AR178" s="4"/>
      <c r="AS178" s="4"/>
      <c r="AT178" s="4"/>
      <c r="AU178" s="4"/>
      <c r="AV178" s="4"/>
    </row>
    <row r="179" spans="1:48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245"/>
      <c r="AQ179" s="4"/>
      <c r="AR179" s="4"/>
      <c r="AS179" s="4"/>
      <c r="AT179" s="4"/>
      <c r="AU179" s="4"/>
      <c r="AV179" s="4"/>
    </row>
    <row r="180" spans="1:48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245"/>
      <c r="AQ180" s="4"/>
      <c r="AR180" s="4"/>
      <c r="AS180" s="4"/>
      <c r="AT180" s="4"/>
      <c r="AU180" s="4"/>
      <c r="AV180" s="4"/>
    </row>
    <row r="181" spans="1:48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245"/>
      <c r="AQ181" s="4"/>
      <c r="AR181" s="4"/>
      <c r="AS181" s="4"/>
      <c r="AT181" s="4"/>
      <c r="AU181" s="4"/>
      <c r="AV181" s="4"/>
    </row>
    <row r="182" spans="1:48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245"/>
      <c r="AQ182" s="4"/>
      <c r="AR182" s="4"/>
      <c r="AS182" s="4"/>
      <c r="AT182" s="4"/>
      <c r="AU182" s="4"/>
      <c r="AV182" s="4"/>
    </row>
    <row r="183" spans="1:48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245"/>
      <c r="AQ183" s="4"/>
      <c r="AR183" s="4"/>
      <c r="AS183" s="4"/>
      <c r="AT183" s="4"/>
      <c r="AU183" s="4"/>
      <c r="AV183" s="4"/>
    </row>
    <row r="184" spans="1:48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245"/>
      <c r="AQ184" s="4"/>
      <c r="AR184" s="4"/>
      <c r="AS184" s="4"/>
      <c r="AT184" s="4"/>
      <c r="AU184" s="4"/>
      <c r="AV184" s="4"/>
    </row>
    <row r="185" spans="1:48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245"/>
      <c r="AQ185" s="4"/>
      <c r="AR185" s="4"/>
      <c r="AS185" s="4"/>
      <c r="AT185" s="4"/>
      <c r="AU185" s="4"/>
      <c r="AV185" s="4"/>
    </row>
    <row r="186" spans="1:48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245"/>
      <c r="AQ186" s="4"/>
      <c r="AR186" s="4"/>
      <c r="AS186" s="4"/>
      <c r="AT186" s="4"/>
      <c r="AU186" s="4"/>
      <c r="AV186" s="4"/>
    </row>
    <row r="187" spans="1:48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245"/>
      <c r="AQ187" s="4"/>
      <c r="AR187" s="4"/>
      <c r="AS187" s="4"/>
      <c r="AT187" s="4"/>
      <c r="AU187" s="4"/>
      <c r="AV187" s="4"/>
    </row>
    <row r="188" spans="1:4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245"/>
      <c r="AQ188" s="4"/>
      <c r="AR188" s="4"/>
      <c r="AS188" s="4"/>
      <c r="AT188" s="4"/>
      <c r="AU188" s="4"/>
      <c r="AV188" s="4"/>
    </row>
    <row r="189" spans="1:48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245"/>
      <c r="AQ189" s="4"/>
      <c r="AR189" s="4"/>
      <c r="AS189" s="4"/>
      <c r="AT189" s="4"/>
      <c r="AU189" s="4"/>
      <c r="AV189" s="4"/>
    </row>
    <row r="190" spans="1:48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245"/>
      <c r="AQ190" s="4"/>
      <c r="AR190" s="4"/>
      <c r="AS190" s="4"/>
      <c r="AT190" s="4"/>
      <c r="AU190" s="4"/>
      <c r="AV190" s="4"/>
    </row>
    <row r="191" spans="1:48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245"/>
      <c r="AQ191" s="4"/>
      <c r="AR191" s="4"/>
      <c r="AS191" s="4"/>
      <c r="AT191" s="4"/>
      <c r="AU191" s="4"/>
      <c r="AV191" s="4"/>
    </row>
    <row r="192" spans="1:48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245"/>
      <c r="AQ192" s="4"/>
      <c r="AR192" s="4"/>
      <c r="AS192" s="4"/>
      <c r="AT192" s="4"/>
      <c r="AU192" s="4"/>
      <c r="AV192" s="4"/>
    </row>
    <row r="193" spans="1:48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245"/>
      <c r="AQ193" s="4"/>
      <c r="AR193" s="4"/>
      <c r="AS193" s="4"/>
      <c r="AT193" s="4"/>
      <c r="AU193" s="4"/>
      <c r="AV193" s="4"/>
    </row>
    <row r="194" spans="1:48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245"/>
      <c r="AQ194" s="4"/>
      <c r="AR194" s="4"/>
      <c r="AS194" s="4"/>
      <c r="AT194" s="4"/>
      <c r="AU194" s="4"/>
      <c r="AV194" s="4"/>
    </row>
    <row r="195" spans="1:48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245"/>
      <c r="AQ195" s="4"/>
      <c r="AR195" s="4"/>
      <c r="AS195" s="4"/>
      <c r="AT195" s="4"/>
      <c r="AU195" s="4"/>
      <c r="AV195" s="4"/>
    </row>
    <row r="196" spans="1:48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245"/>
      <c r="AQ196" s="4"/>
      <c r="AR196" s="4"/>
      <c r="AS196" s="4"/>
      <c r="AT196" s="4"/>
      <c r="AU196" s="4"/>
      <c r="AV196" s="4"/>
    </row>
    <row r="197" spans="1:48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245"/>
      <c r="AQ197" s="4"/>
      <c r="AR197" s="4"/>
      <c r="AS197" s="4"/>
      <c r="AT197" s="4"/>
      <c r="AU197" s="4"/>
      <c r="AV197" s="4"/>
    </row>
    <row r="198" spans="1:4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245"/>
      <c r="AQ198" s="4"/>
      <c r="AR198" s="4"/>
      <c r="AS198" s="4"/>
      <c r="AT198" s="4"/>
      <c r="AU198" s="4"/>
      <c r="AV198" s="4"/>
    </row>
    <row r="199" spans="1:48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245"/>
      <c r="AQ199" s="4"/>
      <c r="AR199" s="4"/>
      <c r="AS199" s="4"/>
      <c r="AT199" s="4"/>
      <c r="AU199" s="4"/>
      <c r="AV199" s="4"/>
    </row>
    <row r="200" spans="1:48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245"/>
      <c r="AQ200" s="4"/>
      <c r="AR200" s="4"/>
      <c r="AS200" s="4"/>
      <c r="AT200" s="4"/>
      <c r="AU200" s="4"/>
      <c r="AV200" s="4"/>
    </row>
    <row r="201" spans="1:48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245"/>
      <c r="AQ201" s="4"/>
      <c r="AR201" s="4"/>
      <c r="AS201" s="4"/>
      <c r="AT201" s="4"/>
      <c r="AU201" s="4"/>
      <c r="AV201" s="4"/>
    </row>
    <row r="202" spans="1:48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245"/>
      <c r="AQ202" s="4"/>
      <c r="AR202" s="4"/>
      <c r="AS202" s="4"/>
      <c r="AT202" s="4"/>
      <c r="AU202" s="4"/>
      <c r="AV202" s="4"/>
    </row>
    <row r="203" spans="1:48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245"/>
      <c r="AQ203" s="4"/>
      <c r="AR203" s="4"/>
      <c r="AS203" s="4"/>
      <c r="AT203" s="4"/>
      <c r="AU203" s="4"/>
      <c r="AV203" s="4"/>
    </row>
    <row r="204" spans="1:48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245"/>
      <c r="AQ204" s="4"/>
      <c r="AR204" s="4"/>
      <c r="AS204" s="4"/>
      <c r="AT204" s="4"/>
      <c r="AU204" s="4"/>
      <c r="AV204" s="4"/>
    </row>
    <row r="205" spans="1:48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245"/>
      <c r="AQ205" s="4"/>
      <c r="AR205" s="4"/>
      <c r="AS205" s="4"/>
      <c r="AT205" s="4"/>
      <c r="AU205" s="4"/>
      <c r="AV205" s="4"/>
    </row>
    <row r="206" spans="1:48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245"/>
      <c r="AQ206" s="4"/>
      <c r="AR206" s="4"/>
      <c r="AS206" s="4"/>
      <c r="AT206" s="4"/>
      <c r="AU206" s="4"/>
      <c r="AV206" s="4"/>
    </row>
    <row r="207" spans="1:48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245"/>
      <c r="AQ207" s="4"/>
      <c r="AR207" s="4"/>
      <c r="AS207" s="4"/>
      <c r="AT207" s="4"/>
      <c r="AU207" s="4"/>
      <c r="AV207" s="4"/>
    </row>
    <row r="208" spans="1:4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245"/>
      <c r="AQ208" s="4"/>
      <c r="AR208" s="4"/>
      <c r="AS208" s="4"/>
      <c r="AT208" s="4"/>
      <c r="AU208" s="4"/>
      <c r="AV208" s="4"/>
    </row>
    <row r="209" spans="1:48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245"/>
      <c r="AQ209" s="4"/>
      <c r="AR209" s="4"/>
      <c r="AS209" s="4"/>
      <c r="AT209" s="4"/>
      <c r="AU209" s="4"/>
      <c r="AV209" s="4"/>
    </row>
    <row r="210" spans="1:48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245"/>
      <c r="AQ210" s="4"/>
      <c r="AR210" s="4"/>
      <c r="AS210" s="4"/>
      <c r="AT210" s="4"/>
      <c r="AU210" s="4"/>
      <c r="AV210" s="4"/>
    </row>
    <row r="211" spans="1:48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245"/>
      <c r="AQ211" s="4"/>
      <c r="AR211" s="4"/>
      <c r="AS211" s="4"/>
      <c r="AT211" s="4"/>
      <c r="AU211" s="4"/>
      <c r="AV211" s="4"/>
    </row>
    <row r="212" spans="1:48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245"/>
      <c r="AQ212" s="4"/>
      <c r="AR212" s="4"/>
      <c r="AS212" s="4"/>
      <c r="AT212" s="4"/>
      <c r="AU212" s="4"/>
      <c r="AV212" s="4"/>
    </row>
    <row r="213" spans="1:48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245"/>
      <c r="AQ213" s="4"/>
      <c r="AR213" s="4"/>
      <c r="AS213" s="4"/>
      <c r="AT213" s="4"/>
      <c r="AU213" s="4"/>
      <c r="AV213" s="4"/>
    </row>
    <row r="214" spans="1:48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245"/>
      <c r="AQ214" s="4"/>
      <c r="AR214" s="4"/>
      <c r="AS214" s="4"/>
      <c r="AT214" s="4"/>
      <c r="AU214" s="4"/>
      <c r="AV214" s="4"/>
    </row>
    <row r="215" spans="1:48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245"/>
      <c r="AQ215" s="4"/>
      <c r="AR215" s="4"/>
      <c r="AS215" s="4"/>
      <c r="AT215" s="4"/>
      <c r="AU215" s="4"/>
      <c r="AV215" s="4"/>
    </row>
    <row r="216" spans="1:48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245"/>
      <c r="AQ216" s="4"/>
      <c r="AR216" s="4"/>
      <c r="AS216" s="4"/>
      <c r="AT216" s="4"/>
      <c r="AU216" s="4"/>
      <c r="AV216" s="4"/>
    </row>
    <row r="217" spans="1:48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245"/>
      <c r="AQ217" s="4"/>
      <c r="AR217" s="4"/>
      <c r="AS217" s="4"/>
      <c r="AT217" s="4"/>
      <c r="AU217" s="4"/>
      <c r="AV217" s="4"/>
    </row>
    <row r="218" spans="1:4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245"/>
      <c r="AQ218" s="4"/>
      <c r="AR218" s="4"/>
      <c r="AS218" s="4"/>
      <c r="AT218" s="4"/>
      <c r="AU218" s="4"/>
      <c r="AV218" s="4"/>
    </row>
    <row r="219" spans="1:48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245"/>
      <c r="AQ219" s="4"/>
      <c r="AR219" s="4"/>
      <c r="AS219" s="4"/>
      <c r="AT219" s="4"/>
      <c r="AU219" s="4"/>
      <c r="AV219" s="4"/>
    </row>
    <row r="220" spans="1:48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245"/>
      <c r="AQ220" s="4"/>
      <c r="AR220" s="4"/>
      <c r="AS220" s="4"/>
      <c r="AT220" s="4"/>
      <c r="AU220" s="4"/>
      <c r="AV220" s="4"/>
    </row>
    <row r="221" spans="1:48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245"/>
      <c r="AQ221" s="4"/>
      <c r="AR221" s="4"/>
      <c r="AS221" s="4"/>
      <c r="AT221" s="4"/>
      <c r="AU221" s="4"/>
      <c r="AV221" s="4"/>
    </row>
    <row r="222" spans="1:48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245"/>
      <c r="AQ222" s="4"/>
      <c r="AR222" s="4"/>
      <c r="AS222" s="4"/>
      <c r="AT222" s="4"/>
      <c r="AU222" s="4"/>
      <c r="AV222" s="4"/>
    </row>
    <row r="223" spans="1:48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245"/>
      <c r="AQ223" s="4"/>
      <c r="AR223" s="4"/>
      <c r="AS223" s="4"/>
      <c r="AT223" s="4"/>
      <c r="AU223" s="4"/>
      <c r="AV223" s="4"/>
    </row>
    <row r="224" spans="1:48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245"/>
      <c r="AQ224" s="4"/>
      <c r="AR224" s="4"/>
      <c r="AS224" s="4"/>
      <c r="AT224" s="4"/>
      <c r="AU224" s="4"/>
      <c r="AV224" s="4"/>
    </row>
    <row r="225" spans="1:48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245"/>
      <c r="AQ225" s="4"/>
      <c r="AR225" s="4"/>
      <c r="AS225" s="4"/>
      <c r="AT225" s="4"/>
      <c r="AU225" s="4"/>
      <c r="AV225" s="4"/>
    </row>
    <row r="226" spans="1:48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245"/>
      <c r="AQ226" s="4"/>
      <c r="AR226" s="4"/>
      <c r="AS226" s="4"/>
      <c r="AT226" s="4"/>
      <c r="AU226" s="4"/>
      <c r="AV226" s="4"/>
    </row>
    <row r="227" spans="1:48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245"/>
      <c r="AQ227" s="4"/>
      <c r="AR227" s="4"/>
      <c r="AS227" s="4"/>
      <c r="AT227" s="4"/>
      <c r="AU227" s="4"/>
      <c r="AV227" s="4"/>
    </row>
    <row r="228" spans="1:4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245"/>
      <c r="AQ228" s="4"/>
      <c r="AR228" s="4"/>
      <c r="AS228" s="4"/>
      <c r="AT228" s="4"/>
      <c r="AU228" s="4"/>
      <c r="AV228" s="4"/>
    </row>
    <row r="229" spans="1:48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245"/>
      <c r="AQ229" s="4"/>
      <c r="AR229" s="4"/>
      <c r="AS229" s="4"/>
      <c r="AT229" s="4"/>
      <c r="AU229" s="4"/>
      <c r="AV229" s="4"/>
    </row>
    <row r="230" spans="1:48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245"/>
      <c r="AQ230" s="4"/>
      <c r="AR230" s="4"/>
      <c r="AS230" s="4"/>
      <c r="AT230" s="4"/>
      <c r="AU230" s="4"/>
      <c r="AV230" s="4"/>
    </row>
    <row r="231" spans="1:48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245"/>
      <c r="AQ231" s="4"/>
      <c r="AR231" s="4"/>
      <c r="AS231" s="4"/>
      <c r="AT231" s="4"/>
      <c r="AU231" s="4"/>
      <c r="AV231" s="4"/>
    </row>
    <row r="232" spans="1:48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245"/>
      <c r="AQ232" s="4"/>
      <c r="AR232" s="4"/>
      <c r="AS232" s="4"/>
      <c r="AT232" s="4"/>
      <c r="AU232" s="4"/>
      <c r="AV232" s="4"/>
    </row>
    <row r="233" spans="1:48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245"/>
      <c r="AQ233" s="4"/>
      <c r="AR233" s="4"/>
      <c r="AS233" s="4"/>
      <c r="AT233" s="4"/>
      <c r="AU233" s="4"/>
      <c r="AV233" s="4"/>
    </row>
    <row r="234" spans="1:48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245"/>
      <c r="AQ234" s="4"/>
      <c r="AR234" s="4"/>
      <c r="AS234" s="4"/>
      <c r="AT234" s="4"/>
      <c r="AU234" s="4"/>
      <c r="AV234" s="4"/>
    </row>
    <row r="235" spans="1:48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245"/>
      <c r="AQ235" s="4"/>
      <c r="AR235" s="4"/>
      <c r="AS235" s="4"/>
      <c r="AT235" s="4"/>
      <c r="AU235" s="4"/>
      <c r="AV235" s="4"/>
    </row>
    <row r="236" spans="1:48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245"/>
      <c r="AQ236" s="4"/>
      <c r="AR236" s="4"/>
      <c r="AS236" s="4"/>
      <c r="AT236" s="4"/>
      <c r="AU236" s="4"/>
      <c r="AV236" s="4"/>
    </row>
    <row r="237" spans="1:48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245"/>
      <c r="AQ237" s="4"/>
      <c r="AR237" s="4"/>
      <c r="AS237" s="4"/>
      <c r="AT237" s="4"/>
      <c r="AU237" s="4"/>
      <c r="AV237" s="4"/>
    </row>
    <row r="238" spans="1:4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245"/>
      <c r="AQ238" s="4"/>
      <c r="AR238" s="4"/>
      <c r="AS238" s="4"/>
      <c r="AT238" s="4"/>
      <c r="AU238" s="4"/>
      <c r="AV238" s="4"/>
    </row>
    <row r="239" spans="1:48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245"/>
      <c r="AQ239" s="4"/>
      <c r="AR239" s="4"/>
      <c r="AS239" s="4"/>
      <c r="AT239" s="4"/>
      <c r="AU239" s="4"/>
      <c r="AV239" s="4"/>
    </row>
    <row r="240" spans="1:48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245"/>
      <c r="AQ240" s="4"/>
      <c r="AR240" s="4"/>
      <c r="AS240" s="4"/>
      <c r="AT240" s="4"/>
      <c r="AU240" s="4"/>
      <c r="AV240" s="4"/>
    </row>
    <row r="241" spans="1:48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245"/>
      <c r="AQ241" s="4"/>
      <c r="AR241" s="4"/>
      <c r="AS241" s="4"/>
      <c r="AT241" s="4"/>
      <c r="AU241" s="4"/>
      <c r="AV241" s="4"/>
    </row>
    <row r="242" spans="1:48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245"/>
      <c r="AQ242" s="4"/>
      <c r="AR242" s="4"/>
      <c r="AS242" s="4"/>
      <c r="AT242" s="4"/>
      <c r="AU242" s="4"/>
      <c r="AV242" s="4"/>
    </row>
    <row r="243" spans="1:48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245"/>
      <c r="AQ243" s="4"/>
      <c r="AR243" s="4"/>
      <c r="AS243" s="4"/>
      <c r="AT243" s="4"/>
      <c r="AU243" s="4"/>
      <c r="AV243" s="4"/>
    </row>
    <row r="244" spans="1:48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245"/>
      <c r="AQ244" s="4"/>
      <c r="AR244" s="4"/>
      <c r="AS244" s="4"/>
      <c r="AT244" s="4"/>
      <c r="AU244" s="4"/>
      <c r="AV244" s="4"/>
    </row>
    <row r="245" spans="1:48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245"/>
      <c r="AQ245" s="4"/>
      <c r="AR245" s="4"/>
      <c r="AS245" s="4"/>
      <c r="AT245" s="4"/>
      <c r="AU245" s="4"/>
      <c r="AV245" s="4"/>
    </row>
    <row r="246" spans="1:48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245"/>
      <c r="AQ246" s="4"/>
      <c r="AR246" s="4"/>
      <c r="AS246" s="4"/>
      <c r="AT246" s="4"/>
      <c r="AU246" s="4"/>
      <c r="AV246" s="4"/>
    </row>
    <row r="247" spans="1:48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245"/>
      <c r="AQ247" s="4"/>
      <c r="AR247" s="4"/>
      <c r="AS247" s="4"/>
      <c r="AT247" s="4"/>
      <c r="AU247" s="4"/>
      <c r="AV247" s="4"/>
    </row>
    <row r="248" spans="1: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245"/>
      <c r="AQ248" s="4"/>
      <c r="AR248" s="4"/>
      <c r="AS248" s="4"/>
      <c r="AT248" s="4"/>
      <c r="AU248" s="4"/>
      <c r="AV248" s="4"/>
    </row>
    <row r="249" spans="1:48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245"/>
      <c r="AQ249" s="4"/>
      <c r="AR249" s="4"/>
      <c r="AS249" s="4"/>
      <c r="AT249" s="4"/>
      <c r="AU249" s="4"/>
      <c r="AV249" s="4"/>
    </row>
    <row r="250" spans="1:48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245"/>
      <c r="AQ250" s="4"/>
      <c r="AR250" s="4"/>
      <c r="AS250" s="4"/>
      <c r="AT250" s="4"/>
      <c r="AU250" s="4"/>
      <c r="AV250" s="4"/>
    </row>
    <row r="251" spans="1:48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245"/>
      <c r="AQ251" s="4"/>
      <c r="AR251" s="4"/>
      <c r="AS251" s="4"/>
      <c r="AT251" s="4"/>
      <c r="AU251" s="4"/>
      <c r="AV251" s="4"/>
    </row>
    <row r="252" spans="1:48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245"/>
      <c r="AQ252" s="4"/>
      <c r="AR252" s="4"/>
      <c r="AS252" s="4"/>
      <c r="AT252" s="4"/>
      <c r="AU252" s="4"/>
      <c r="AV252" s="4"/>
    </row>
    <row r="253" spans="1:48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245"/>
      <c r="AQ253" s="4"/>
      <c r="AR253" s="4"/>
      <c r="AS253" s="4"/>
      <c r="AT253" s="4"/>
      <c r="AU253" s="4"/>
      <c r="AV253" s="4"/>
    </row>
    <row r="254" spans="1:48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245"/>
      <c r="AQ254" s="4"/>
      <c r="AR254" s="4"/>
      <c r="AS254" s="4"/>
      <c r="AT254" s="4"/>
      <c r="AU254" s="4"/>
      <c r="AV254" s="4"/>
    </row>
    <row r="255" spans="1:48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245"/>
      <c r="AQ255" s="4"/>
      <c r="AR255" s="4"/>
      <c r="AS255" s="4"/>
      <c r="AT255" s="4"/>
      <c r="AU255" s="4"/>
      <c r="AV255" s="4"/>
    </row>
    <row r="256" spans="1:48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245"/>
      <c r="AQ256" s="4"/>
      <c r="AR256" s="4"/>
      <c r="AS256" s="4"/>
      <c r="AT256" s="4"/>
      <c r="AU256" s="4"/>
      <c r="AV256" s="4"/>
    </row>
    <row r="257" spans="1:48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245"/>
      <c r="AQ257" s="4"/>
      <c r="AR257" s="4"/>
      <c r="AS257" s="4"/>
      <c r="AT257" s="4"/>
      <c r="AU257" s="4"/>
      <c r="AV257" s="4"/>
    </row>
    <row r="258" spans="1:4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245"/>
      <c r="AQ258" s="4"/>
      <c r="AR258" s="4"/>
      <c r="AS258" s="4"/>
      <c r="AT258" s="4"/>
      <c r="AU258" s="4"/>
      <c r="AV258" s="4"/>
    </row>
    <row r="259" spans="1:48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245"/>
      <c r="AQ259" s="4"/>
      <c r="AR259" s="4"/>
      <c r="AS259" s="4"/>
      <c r="AT259" s="4"/>
      <c r="AU259" s="4"/>
      <c r="AV259" s="4"/>
    </row>
    <row r="260" spans="1:48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245"/>
      <c r="AQ260" s="4"/>
      <c r="AR260" s="4"/>
      <c r="AS260" s="4"/>
      <c r="AT260" s="4"/>
      <c r="AU260" s="4"/>
      <c r="AV260" s="4"/>
    </row>
    <row r="261" spans="1:48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245"/>
      <c r="AQ261" s="4"/>
      <c r="AR261" s="4"/>
      <c r="AS261" s="4"/>
      <c r="AT261" s="4"/>
      <c r="AU261" s="4"/>
      <c r="AV261" s="4"/>
    </row>
    <row r="262" spans="1:48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245"/>
      <c r="AQ262" s="4"/>
      <c r="AR262" s="4"/>
      <c r="AS262" s="4"/>
      <c r="AT262" s="4"/>
      <c r="AU262" s="4"/>
      <c r="AV262" s="4"/>
    </row>
    <row r="263" spans="1:48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245"/>
      <c r="AQ263" s="4"/>
      <c r="AR263" s="4"/>
      <c r="AS263" s="4"/>
      <c r="AT263" s="4"/>
      <c r="AU263" s="4"/>
      <c r="AV263" s="4"/>
    </row>
    <row r="264" spans="1:48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245"/>
      <c r="AQ264" s="4"/>
      <c r="AR264" s="4"/>
      <c r="AS264" s="4"/>
      <c r="AT264" s="4"/>
      <c r="AU264" s="4"/>
      <c r="AV264" s="4"/>
    </row>
    <row r="265" spans="1:48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245"/>
      <c r="AQ265" s="4"/>
      <c r="AR265" s="4"/>
      <c r="AS265" s="4"/>
      <c r="AT265" s="4"/>
      <c r="AU265" s="4"/>
      <c r="AV265" s="4"/>
    </row>
    <row r="266" spans="1:48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245"/>
      <c r="AQ266" s="4"/>
      <c r="AR266" s="4"/>
      <c r="AS266" s="4"/>
      <c r="AT266" s="4"/>
      <c r="AU266" s="4"/>
      <c r="AV266" s="4"/>
    </row>
    <row r="267" spans="1:48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245"/>
      <c r="AQ267" s="4"/>
      <c r="AR267" s="4"/>
      <c r="AS267" s="4"/>
      <c r="AT267" s="4"/>
      <c r="AU267" s="4"/>
      <c r="AV267" s="4"/>
    </row>
    <row r="268" spans="1:4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245"/>
      <c r="AQ268" s="4"/>
      <c r="AR268" s="4"/>
      <c r="AS268" s="4"/>
      <c r="AT268" s="4"/>
      <c r="AU268" s="4"/>
      <c r="AV268" s="4"/>
    </row>
    <row r="269" spans="1:48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245"/>
      <c r="AQ269" s="4"/>
      <c r="AR269" s="4"/>
      <c r="AS269" s="4"/>
      <c r="AT269" s="4"/>
      <c r="AU269" s="4"/>
      <c r="AV269" s="4"/>
    </row>
    <row r="270" spans="1:48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245"/>
      <c r="AQ270" s="4"/>
      <c r="AR270" s="4"/>
      <c r="AS270" s="4"/>
      <c r="AT270" s="4"/>
      <c r="AU270" s="4"/>
      <c r="AV270" s="4"/>
    </row>
    <row r="271" spans="1:48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245"/>
      <c r="AQ271" s="4"/>
      <c r="AR271" s="4"/>
      <c r="AS271" s="4"/>
      <c r="AT271" s="4"/>
      <c r="AU271" s="4"/>
      <c r="AV271" s="4"/>
    </row>
    <row r="272" spans="1:48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245"/>
      <c r="AQ272" s="4"/>
      <c r="AR272" s="4"/>
      <c r="AS272" s="4"/>
      <c r="AT272" s="4"/>
      <c r="AU272" s="4"/>
      <c r="AV272" s="4"/>
    </row>
    <row r="273" spans="1:48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245"/>
      <c r="AQ273" s="4"/>
      <c r="AR273" s="4"/>
      <c r="AS273" s="4"/>
      <c r="AT273" s="4"/>
      <c r="AU273" s="4"/>
      <c r="AV273" s="4"/>
    </row>
    <row r="274" spans="1:48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245"/>
      <c r="AQ274" s="4"/>
      <c r="AR274" s="4"/>
      <c r="AS274" s="4"/>
      <c r="AT274" s="4"/>
      <c r="AU274" s="4"/>
      <c r="AV274" s="4"/>
    </row>
    <row r="275" spans="1:48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245"/>
      <c r="AQ275" s="4"/>
      <c r="AR275" s="4"/>
      <c r="AS275" s="4"/>
      <c r="AT275" s="4"/>
      <c r="AU275" s="4"/>
      <c r="AV275" s="4"/>
    </row>
    <row r="276" spans="1:48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245"/>
      <c r="AQ276" s="4"/>
      <c r="AR276" s="4"/>
      <c r="AS276" s="4"/>
      <c r="AT276" s="4"/>
      <c r="AU276" s="4"/>
      <c r="AV276" s="4"/>
    </row>
    <row r="277" spans="1:48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245"/>
      <c r="AQ277" s="4"/>
      <c r="AR277" s="4"/>
      <c r="AS277" s="4"/>
      <c r="AT277" s="4"/>
      <c r="AU277" s="4"/>
      <c r="AV277" s="4"/>
    </row>
    <row r="278" spans="1:4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245"/>
      <c r="AQ278" s="4"/>
      <c r="AR278" s="4"/>
      <c r="AS278" s="4"/>
      <c r="AT278" s="4"/>
      <c r="AU278" s="4"/>
      <c r="AV278" s="4"/>
    </row>
    <row r="279" spans="1:48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245"/>
      <c r="AQ279" s="4"/>
      <c r="AR279" s="4"/>
      <c r="AS279" s="4"/>
      <c r="AT279" s="4"/>
      <c r="AU279" s="4"/>
      <c r="AV279" s="4"/>
    </row>
    <row r="280" spans="1:48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245"/>
      <c r="AQ280" s="4"/>
      <c r="AR280" s="4"/>
      <c r="AS280" s="4"/>
      <c r="AT280" s="4"/>
      <c r="AU280" s="4"/>
      <c r="AV280" s="4"/>
    </row>
    <row r="281" spans="1:48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245"/>
      <c r="AQ281" s="4"/>
      <c r="AR281" s="4"/>
      <c r="AS281" s="4"/>
      <c r="AT281" s="4"/>
      <c r="AU281" s="4"/>
      <c r="AV281" s="4"/>
    </row>
    <row r="282" spans="1:48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245"/>
      <c r="AQ282" s="4"/>
      <c r="AR282" s="4"/>
      <c r="AS282" s="4"/>
      <c r="AT282" s="4"/>
      <c r="AU282" s="4"/>
      <c r="AV282" s="4"/>
    </row>
    <row r="283" spans="1:48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245"/>
      <c r="AQ283" s="4"/>
      <c r="AR283" s="4"/>
      <c r="AS283" s="4"/>
      <c r="AT283" s="4"/>
      <c r="AU283" s="4"/>
      <c r="AV283" s="4"/>
    </row>
    <row r="284" spans="1:48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245"/>
      <c r="AQ284" s="4"/>
      <c r="AR284" s="4"/>
      <c r="AS284" s="4"/>
      <c r="AT284" s="4"/>
      <c r="AU284" s="4"/>
      <c r="AV284" s="4"/>
    </row>
    <row r="285" spans="1:48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245"/>
      <c r="AQ285" s="4"/>
      <c r="AR285" s="4"/>
      <c r="AS285" s="4"/>
      <c r="AT285" s="4"/>
      <c r="AU285" s="4"/>
      <c r="AV285" s="4"/>
    </row>
    <row r="286" spans="1:48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245"/>
      <c r="AQ286" s="4"/>
      <c r="AR286" s="4"/>
      <c r="AS286" s="4"/>
      <c r="AT286" s="4"/>
      <c r="AU286" s="4"/>
      <c r="AV286" s="4"/>
    </row>
    <row r="287" spans="1:48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245"/>
      <c r="AQ287" s="4"/>
      <c r="AR287" s="4"/>
      <c r="AS287" s="4"/>
      <c r="AT287" s="4"/>
      <c r="AU287" s="4"/>
      <c r="AV287" s="4"/>
    </row>
    <row r="288" spans="1:4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245"/>
      <c r="AQ288" s="4"/>
      <c r="AR288" s="4"/>
      <c r="AS288" s="4"/>
      <c r="AT288" s="4"/>
      <c r="AU288" s="4"/>
      <c r="AV288" s="4"/>
    </row>
    <row r="289" spans="1:48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245"/>
      <c r="AQ289" s="4"/>
      <c r="AR289" s="4"/>
      <c r="AS289" s="4"/>
      <c r="AT289" s="4"/>
      <c r="AU289" s="4"/>
      <c r="AV289" s="4"/>
    </row>
    <row r="290" spans="1:48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245"/>
      <c r="AQ290" s="4"/>
      <c r="AR290" s="4"/>
      <c r="AS290" s="4"/>
      <c r="AT290" s="4"/>
      <c r="AU290" s="4"/>
      <c r="AV290" s="4"/>
    </row>
    <row r="291" spans="1:48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245"/>
      <c r="AQ291" s="4"/>
      <c r="AR291" s="4"/>
      <c r="AS291" s="4"/>
      <c r="AT291" s="4"/>
      <c r="AU291" s="4"/>
      <c r="AV291" s="4"/>
    </row>
    <row r="292" spans="1:48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245"/>
      <c r="AQ292" s="4"/>
      <c r="AR292" s="4"/>
      <c r="AS292" s="4"/>
      <c r="AT292" s="4"/>
      <c r="AU292" s="4"/>
      <c r="AV292" s="4"/>
    </row>
    <row r="293" spans="1:48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245"/>
      <c r="AQ293" s="4"/>
      <c r="AR293" s="4"/>
      <c r="AS293" s="4"/>
      <c r="AT293" s="4"/>
      <c r="AU293" s="4"/>
      <c r="AV293" s="4"/>
    </row>
    <row r="294" spans="1:48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245"/>
      <c r="AQ294" s="4"/>
      <c r="AR294" s="4"/>
      <c r="AS294" s="4"/>
      <c r="AT294" s="4"/>
      <c r="AU294" s="4"/>
      <c r="AV294" s="4"/>
    </row>
    <row r="295" spans="1:48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245"/>
      <c r="AQ295" s="4"/>
      <c r="AR295" s="4"/>
      <c r="AS295" s="4"/>
      <c r="AT295" s="4"/>
      <c r="AU295" s="4"/>
      <c r="AV295" s="4"/>
    </row>
    <row r="296" spans="1:48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245"/>
      <c r="AQ296" s="4"/>
      <c r="AR296" s="4"/>
      <c r="AS296" s="4"/>
      <c r="AT296" s="4"/>
      <c r="AU296" s="4"/>
      <c r="AV296" s="4"/>
    </row>
    <row r="297" spans="1:48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245"/>
      <c r="AQ297" s="4"/>
      <c r="AR297" s="4"/>
      <c r="AS297" s="4"/>
      <c r="AT297" s="4"/>
      <c r="AU297" s="4"/>
      <c r="AV297" s="4"/>
    </row>
    <row r="298" spans="1:4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245"/>
      <c r="AQ298" s="4"/>
      <c r="AR298" s="4"/>
      <c r="AS298" s="4"/>
      <c r="AT298" s="4"/>
      <c r="AU298" s="4"/>
      <c r="AV298" s="4"/>
    </row>
    <row r="299" spans="1:48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245"/>
      <c r="AQ299" s="4"/>
      <c r="AR299" s="4"/>
      <c r="AS299" s="4"/>
      <c r="AT299" s="4"/>
      <c r="AU299" s="4"/>
      <c r="AV299" s="4"/>
    </row>
    <row r="300" spans="1:48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245"/>
      <c r="AQ300" s="4"/>
      <c r="AR300" s="4"/>
      <c r="AS300" s="4"/>
      <c r="AT300" s="4"/>
      <c r="AU300" s="4"/>
      <c r="AV300" s="4"/>
    </row>
    <row r="301" spans="1:48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245"/>
      <c r="AQ301" s="4"/>
      <c r="AR301" s="4"/>
      <c r="AS301" s="4"/>
      <c r="AT301" s="4"/>
      <c r="AU301" s="4"/>
      <c r="AV301" s="4"/>
    </row>
    <row r="302" spans="1:48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245"/>
      <c r="AQ302" s="4"/>
      <c r="AR302" s="4"/>
      <c r="AS302" s="4"/>
      <c r="AT302" s="4"/>
      <c r="AU302" s="4"/>
      <c r="AV302" s="4"/>
    </row>
    <row r="303" spans="1:48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245"/>
      <c r="AQ303" s="4"/>
      <c r="AR303" s="4"/>
      <c r="AS303" s="4"/>
      <c r="AT303" s="4"/>
      <c r="AU303" s="4"/>
      <c r="AV303" s="4"/>
    </row>
    <row r="304" spans="1:48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245"/>
      <c r="AQ304" s="4"/>
      <c r="AR304" s="4"/>
      <c r="AS304" s="4"/>
      <c r="AT304" s="4"/>
      <c r="AU304" s="4"/>
      <c r="AV304" s="4"/>
    </row>
    <row r="305" spans="1:48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245"/>
      <c r="AQ305" s="4"/>
      <c r="AR305" s="4"/>
      <c r="AS305" s="4"/>
      <c r="AT305" s="4"/>
      <c r="AU305" s="4"/>
      <c r="AV305" s="4"/>
    </row>
    <row r="306" spans="1:48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245"/>
      <c r="AQ306" s="4"/>
      <c r="AR306" s="4"/>
      <c r="AS306" s="4"/>
      <c r="AT306" s="4"/>
      <c r="AU306" s="4"/>
      <c r="AV306" s="4"/>
    </row>
    <row r="307" spans="1:48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245"/>
      <c r="AQ307" s="4"/>
      <c r="AR307" s="4"/>
      <c r="AS307" s="4"/>
      <c r="AT307" s="4"/>
      <c r="AU307" s="4"/>
      <c r="AV307" s="4"/>
    </row>
    <row r="308" spans="1:4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245"/>
      <c r="AQ308" s="4"/>
      <c r="AR308" s="4"/>
      <c r="AS308" s="4"/>
      <c r="AT308" s="4"/>
      <c r="AU308" s="4"/>
      <c r="AV308" s="4"/>
    </row>
    <row r="309" spans="1:48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245"/>
      <c r="AQ309" s="4"/>
      <c r="AR309" s="4"/>
      <c r="AS309" s="4"/>
      <c r="AT309" s="4"/>
      <c r="AU309" s="4"/>
      <c r="AV309" s="4"/>
    </row>
    <row r="310" spans="1:48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245"/>
      <c r="AQ310" s="4"/>
      <c r="AR310" s="4"/>
      <c r="AS310" s="4"/>
      <c r="AT310" s="4"/>
      <c r="AU310" s="4"/>
      <c r="AV310" s="4"/>
    </row>
    <row r="311" spans="1:48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245"/>
      <c r="AQ311" s="4"/>
      <c r="AR311" s="4"/>
      <c r="AS311" s="4"/>
      <c r="AT311" s="4"/>
      <c r="AU311" s="4"/>
      <c r="AV311" s="4"/>
    </row>
    <row r="312" spans="1:48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245"/>
      <c r="AQ312" s="4"/>
      <c r="AR312" s="4"/>
      <c r="AS312" s="4"/>
      <c r="AT312" s="4"/>
      <c r="AU312" s="4"/>
      <c r="AV312" s="4"/>
    </row>
    <row r="313" spans="1:48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245"/>
      <c r="AQ313" s="4"/>
      <c r="AR313" s="4"/>
      <c r="AS313" s="4"/>
      <c r="AT313" s="4"/>
      <c r="AU313" s="4"/>
      <c r="AV313" s="4"/>
    </row>
    <row r="314" spans="1:48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245"/>
      <c r="AQ314" s="4"/>
      <c r="AR314" s="4"/>
      <c r="AS314" s="4"/>
      <c r="AT314" s="4"/>
      <c r="AU314" s="4"/>
      <c r="AV314" s="4"/>
    </row>
    <row r="315" spans="1:48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245"/>
      <c r="AQ315" s="4"/>
      <c r="AR315" s="4"/>
      <c r="AS315" s="4"/>
      <c r="AT315" s="4"/>
      <c r="AU315" s="4"/>
      <c r="AV315" s="4"/>
    </row>
    <row r="316" spans="1:48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245"/>
      <c r="AQ316" s="4"/>
      <c r="AR316" s="4"/>
      <c r="AS316" s="4"/>
      <c r="AT316" s="4"/>
      <c r="AU316" s="4"/>
      <c r="AV316" s="4"/>
    </row>
    <row r="317" spans="1:48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245"/>
      <c r="AQ317" s="4"/>
      <c r="AR317" s="4"/>
      <c r="AS317" s="4"/>
      <c r="AT317" s="4"/>
      <c r="AU317" s="4"/>
      <c r="AV317" s="4"/>
    </row>
    <row r="318" spans="1:4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245"/>
      <c r="AQ318" s="4"/>
      <c r="AR318" s="4"/>
      <c r="AS318" s="4"/>
      <c r="AT318" s="4"/>
      <c r="AU318" s="4"/>
      <c r="AV318" s="4"/>
    </row>
    <row r="319" spans="1:48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245"/>
      <c r="AQ319" s="4"/>
      <c r="AR319" s="4"/>
      <c r="AS319" s="4"/>
      <c r="AT319" s="4"/>
      <c r="AU319" s="4"/>
      <c r="AV319" s="4"/>
    </row>
    <row r="320" spans="1:48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245"/>
      <c r="AQ320" s="4"/>
      <c r="AR320" s="4"/>
      <c r="AS320" s="4"/>
      <c r="AT320" s="4"/>
      <c r="AU320" s="4"/>
      <c r="AV320" s="4"/>
    </row>
    <row r="321" spans="1:48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245"/>
      <c r="AQ321" s="4"/>
      <c r="AR321" s="4"/>
      <c r="AS321" s="4"/>
      <c r="AT321" s="4"/>
      <c r="AU321" s="4"/>
      <c r="AV321" s="4"/>
    </row>
    <row r="322" spans="1:48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245"/>
      <c r="AQ322" s="4"/>
      <c r="AR322" s="4"/>
      <c r="AS322" s="4"/>
      <c r="AT322" s="4"/>
      <c r="AU322" s="4"/>
      <c r="AV322" s="4"/>
    </row>
    <row r="323" spans="1:48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245"/>
      <c r="AQ323" s="4"/>
      <c r="AR323" s="4"/>
      <c r="AS323" s="4"/>
      <c r="AT323" s="4"/>
      <c r="AU323" s="4"/>
      <c r="AV323" s="4"/>
    </row>
    <row r="324" spans="1:48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245"/>
      <c r="AQ324" s="4"/>
      <c r="AR324" s="4"/>
      <c r="AS324" s="4"/>
      <c r="AT324" s="4"/>
      <c r="AU324" s="4"/>
      <c r="AV324" s="4"/>
    </row>
    <row r="325" spans="1:48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245"/>
      <c r="AQ325" s="4"/>
      <c r="AR325" s="4"/>
      <c r="AS325" s="4"/>
      <c r="AT325" s="4"/>
      <c r="AU325" s="4"/>
      <c r="AV325" s="4"/>
    </row>
    <row r="326" spans="1:48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245"/>
      <c r="AQ326" s="4"/>
      <c r="AR326" s="4"/>
      <c r="AS326" s="4"/>
      <c r="AT326" s="4"/>
      <c r="AU326" s="4"/>
      <c r="AV326" s="4"/>
    </row>
    <row r="327" spans="1:48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245"/>
      <c r="AQ327" s="4"/>
      <c r="AR327" s="4"/>
      <c r="AS327" s="4"/>
      <c r="AT327" s="4"/>
      <c r="AU327" s="4"/>
      <c r="AV327" s="4"/>
    </row>
    <row r="328" spans="1:4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245"/>
      <c r="AQ328" s="4"/>
      <c r="AR328" s="4"/>
      <c r="AS328" s="4"/>
      <c r="AT328" s="4"/>
      <c r="AU328" s="4"/>
      <c r="AV328" s="4"/>
    </row>
    <row r="329" spans="1:48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245"/>
      <c r="AQ329" s="4"/>
      <c r="AR329" s="4"/>
      <c r="AS329" s="4"/>
      <c r="AT329" s="4"/>
      <c r="AU329" s="4"/>
      <c r="AV329" s="4"/>
    </row>
    <row r="330" spans="1:48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245"/>
      <c r="AQ330" s="4"/>
      <c r="AR330" s="4"/>
      <c r="AS330" s="4"/>
      <c r="AT330" s="4"/>
      <c r="AU330" s="4"/>
      <c r="AV330" s="4"/>
    </row>
    <row r="331" spans="1:48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245"/>
      <c r="AQ331" s="4"/>
      <c r="AR331" s="4"/>
      <c r="AS331" s="4"/>
      <c r="AT331" s="4"/>
      <c r="AU331" s="4"/>
      <c r="AV331" s="4"/>
    </row>
    <row r="332" spans="1:48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245"/>
      <c r="AQ332" s="4"/>
      <c r="AR332" s="4"/>
      <c r="AS332" s="4"/>
      <c r="AT332" s="4"/>
      <c r="AU332" s="4"/>
      <c r="AV332" s="4"/>
    </row>
    <row r="333" spans="1:48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245"/>
      <c r="AQ333" s="4"/>
      <c r="AR333" s="4"/>
      <c r="AS333" s="4"/>
      <c r="AT333" s="4"/>
      <c r="AU333" s="4"/>
      <c r="AV333" s="4"/>
    </row>
    <row r="334" spans="1:48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245"/>
      <c r="AQ334" s="4"/>
      <c r="AR334" s="4"/>
      <c r="AS334" s="4"/>
      <c r="AT334" s="4"/>
      <c r="AU334" s="4"/>
      <c r="AV334" s="4"/>
    </row>
    <row r="335" spans="1:48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245"/>
      <c r="AQ335" s="4"/>
      <c r="AR335" s="4"/>
      <c r="AS335" s="4"/>
      <c r="AT335" s="4"/>
      <c r="AU335" s="4"/>
      <c r="AV335" s="4"/>
    </row>
    <row r="336" spans="1:48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245"/>
      <c r="AQ336" s="4"/>
      <c r="AR336" s="4"/>
      <c r="AS336" s="4"/>
      <c r="AT336" s="4"/>
      <c r="AU336" s="4"/>
      <c r="AV336" s="4"/>
    </row>
    <row r="337" spans="1:48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245"/>
      <c r="AQ337" s="4"/>
      <c r="AR337" s="4"/>
      <c r="AS337" s="4"/>
      <c r="AT337" s="4"/>
      <c r="AU337" s="4"/>
      <c r="AV337" s="4"/>
    </row>
    <row r="338" spans="1:4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245"/>
      <c r="AQ338" s="4"/>
      <c r="AR338" s="4"/>
      <c r="AS338" s="4"/>
      <c r="AT338" s="4"/>
      <c r="AU338" s="4"/>
      <c r="AV338" s="4"/>
    </row>
    <row r="339" spans="1:48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245"/>
      <c r="AQ339" s="4"/>
      <c r="AR339" s="4"/>
      <c r="AS339" s="4"/>
      <c r="AT339" s="4"/>
      <c r="AU339" s="4"/>
      <c r="AV339" s="4"/>
    </row>
    <row r="340" spans="1:48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245"/>
      <c r="AQ340" s="4"/>
      <c r="AR340" s="4"/>
      <c r="AS340" s="4"/>
      <c r="AT340" s="4"/>
      <c r="AU340" s="4"/>
      <c r="AV340" s="4"/>
    </row>
    <row r="341" spans="1:48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245"/>
      <c r="AQ341" s="4"/>
      <c r="AR341" s="4"/>
      <c r="AS341" s="4"/>
      <c r="AT341" s="4"/>
      <c r="AU341" s="4"/>
      <c r="AV341" s="4"/>
    </row>
    <row r="342" spans="1:48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245"/>
      <c r="AQ342" s="4"/>
      <c r="AR342" s="4"/>
      <c r="AS342" s="4"/>
      <c r="AT342" s="4"/>
      <c r="AU342" s="4"/>
      <c r="AV342" s="4"/>
    </row>
    <row r="343" spans="1:48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245"/>
      <c r="AQ343" s="4"/>
      <c r="AR343" s="4"/>
      <c r="AS343" s="4"/>
      <c r="AT343" s="4"/>
      <c r="AU343" s="4"/>
      <c r="AV343" s="4"/>
    </row>
    <row r="344" spans="1:48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245"/>
      <c r="AQ344" s="4"/>
      <c r="AR344" s="4"/>
      <c r="AS344" s="4"/>
      <c r="AT344" s="4"/>
      <c r="AU344" s="4"/>
      <c r="AV344" s="4"/>
    </row>
    <row r="345" spans="1:48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245"/>
      <c r="AQ345" s="4"/>
      <c r="AR345" s="4"/>
      <c r="AS345" s="4"/>
      <c r="AT345" s="4"/>
      <c r="AU345" s="4"/>
      <c r="AV345" s="4"/>
    </row>
    <row r="346" spans="1:48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245"/>
      <c r="AQ346" s="4"/>
      <c r="AR346" s="4"/>
      <c r="AS346" s="4"/>
      <c r="AT346" s="4"/>
      <c r="AU346" s="4"/>
      <c r="AV346" s="4"/>
    </row>
    <row r="347" spans="1:48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245"/>
      <c r="AQ347" s="4"/>
      <c r="AR347" s="4"/>
      <c r="AS347" s="4"/>
      <c r="AT347" s="4"/>
      <c r="AU347" s="4"/>
      <c r="AV347" s="4"/>
    </row>
    <row r="348" spans="1: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245"/>
      <c r="AQ348" s="4"/>
      <c r="AR348" s="4"/>
      <c r="AS348" s="4"/>
      <c r="AT348" s="4"/>
      <c r="AU348" s="4"/>
      <c r="AV348" s="4"/>
    </row>
    <row r="349" spans="1:48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245"/>
      <c r="AQ349" s="4"/>
      <c r="AR349" s="4"/>
      <c r="AS349" s="4"/>
      <c r="AT349" s="4"/>
      <c r="AU349" s="4"/>
      <c r="AV349" s="4"/>
    </row>
    <row r="350" spans="1:48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245"/>
      <c r="AQ350" s="4"/>
      <c r="AR350" s="4"/>
      <c r="AS350" s="4"/>
      <c r="AT350" s="4"/>
      <c r="AU350" s="4"/>
      <c r="AV350" s="4"/>
    </row>
    <row r="351" spans="1:48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245"/>
      <c r="AQ351" s="4"/>
      <c r="AR351" s="4"/>
      <c r="AS351" s="4"/>
      <c r="AT351" s="4"/>
      <c r="AU351" s="4"/>
      <c r="AV351" s="4"/>
    </row>
    <row r="352" spans="1:48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245"/>
      <c r="AQ352" s="4"/>
      <c r="AR352" s="4"/>
      <c r="AS352" s="4"/>
      <c r="AT352" s="4"/>
      <c r="AU352" s="4"/>
      <c r="AV352" s="4"/>
    </row>
    <row r="353" spans="1:48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245"/>
      <c r="AQ353" s="4"/>
      <c r="AR353" s="4"/>
      <c r="AS353" s="4"/>
      <c r="AT353" s="4"/>
      <c r="AU353" s="4"/>
      <c r="AV353" s="4"/>
    </row>
    <row r="354" spans="1:48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245"/>
      <c r="AQ354" s="4"/>
      <c r="AR354" s="4"/>
      <c r="AS354" s="4"/>
      <c r="AT354" s="4"/>
      <c r="AU354" s="4"/>
      <c r="AV354" s="4"/>
    </row>
    <row r="355" spans="1:48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245"/>
      <c r="AQ355" s="4"/>
      <c r="AR355" s="4"/>
      <c r="AS355" s="4"/>
      <c r="AT355" s="4"/>
      <c r="AU355" s="4"/>
      <c r="AV355" s="4"/>
    </row>
    <row r="356" spans="1:48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245"/>
      <c r="AQ356" s="4"/>
      <c r="AR356" s="4"/>
      <c r="AS356" s="4"/>
      <c r="AT356" s="4"/>
      <c r="AU356" s="4"/>
      <c r="AV356" s="4"/>
    </row>
    <row r="357" spans="1:48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245"/>
      <c r="AQ357" s="4"/>
      <c r="AR357" s="4"/>
      <c r="AS357" s="4"/>
      <c r="AT357" s="4"/>
      <c r="AU357" s="4"/>
      <c r="AV357" s="4"/>
    </row>
    <row r="358" spans="1:4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245"/>
      <c r="AQ358" s="4"/>
      <c r="AR358" s="4"/>
      <c r="AS358" s="4"/>
      <c r="AT358" s="4"/>
      <c r="AU358" s="4"/>
      <c r="AV358" s="4"/>
    </row>
    <row r="359" spans="1:48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245"/>
      <c r="AQ359" s="4"/>
      <c r="AR359" s="4"/>
      <c r="AS359" s="4"/>
      <c r="AT359" s="4"/>
      <c r="AU359" s="4"/>
      <c r="AV359" s="4"/>
    </row>
    <row r="360" spans="1:48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245"/>
      <c r="AQ360" s="4"/>
      <c r="AR360" s="4"/>
      <c r="AS360" s="4"/>
      <c r="AT360" s="4"/>
      <c r="AU360" s="4"/>
      <c r="AV360" s="4"/>
    </row>
    <row r="361" spans="1:48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245"/>
      <c r="AQ361" s="4"/>
      <c r="AR361" s="4"/>
      <c r="AS361" s="4"/>
      <c r="AT361" s="4"/>
      <c r="AU361" s="4"/>
      <c r="AV361" s="4"/>
    </row>
    <row r="362" spans="1:48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245"/>
      <c r="AQ362" s="4"/>
      <c r="AR362" s="4"/>
      <c r="AS362" s="4"/>
      <c r="AT362" s="4"/>
      <c r="AU362" s="4"/>
      <c r="AV362" s="4"/>
    </row>
    <row r="363" spans="1:48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245"/>
      <c r="AQ363" s="4"/>
      <c r="AR363" s="4"/>
      <c r="AS363" s="4"/>
      <c r="AT363" s="4"/>
      <c r="AU363" s="4"/>
      <c r="AV363" s="4"/>
    </row>
    <row r="364" spans="1:48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245"/>
      <c r="AQ364" s="4"/>
      <c r="AR364" s="4"/>
      <c r="AS364" s="4"/>
      <c r="AT364" s="4"/>
      <c r="AU364" s="4"/>
      <c r="AV364" s="4"/>
    </row>
    <row r="365" spans="1:48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245"/>
      <c r="AQ365" s="4"/>
      <c r="AR365" s="4"/>
      <c r="AS365" s="4"/>
      <c r="AT365" s="4"/>
      <c r="AU365" s="4"/>
      <c r="AV365" s="4"/>
    </row>
    <row r="366" spans="1:48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245"/>
      <c r="AQ366" s="4"/>
      <c r="AR366" s="4"/>
      <c r="AS366" s="4"/>
      <c r="AT366" s="4"/>
      <c r="AU366" s="4"/>
      <c r="AV366" s="4"/>
    </row>
    <row r="367" spans="1:48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245"/>
      <c r="AQ367" s="4"/>
      <c r="AR367" s="4"/>
      <c r="AS367" s="4"/>
      <c r="AT367" s="4"/>
      <c r="AU367" s="4"/>
      <c r="AV367" s="4"/>
    </row>
    <row r="368" spans="1:4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245"/>
      <c r="AQ368" s="4"/>
      <c r="AR368" s="4"/>
      <c r="AS368" s="4"/>
      <c r="AT368" s="4"/>
      <c r="AU368" s="4"/>
      <c r="AV368" s="4"/>
    </row>
    <row r="369" spans="1:48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245"/>
      <c r="AQ369" s="4"/>
      <c r="AR369" s="4"/>
      <c r="AS369" s="4"/>
      <c r="AT369" s="4"/>
      <c r="AU369" s="4"/>
      <c r="AV369" s="4"/>
    </row>
    <row r="370" spans="1:48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245"/>
      <c r="AQ370" s="4"/>
      <c r="AR370" s="4"/>
      <c r="AS370" s="4"/>
      <c r="AT370" s="4"/>
      <c r="AU370" s="4"/>
      <c r="AV370" s="4"/>
    </row>
    <row r="371" spans="1:48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245"/>
      <c r="AQ371" s="4"/>
      <c r="AR371" s="4"/>
      <c r="AS371" s="4"/>
      <c r="AT371" s="4"/>
      <c r="AU371" s="4"/>
      <c r="AV371" s="4"/>
    </row>
    <row r="372" spans="1:48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245"/>
      <c r="AQ372" s="4"/>
      <c r="AR372" s="4"/>
      <c r="AS372" s="4"/>
      <c r="AT372" s="4"/>
      <c r="AU372" s="4"/>
      <c r="AV372" s="4"/>
    </row>
    <row r="373" spans="1:48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245"/>
      <c r="AQ373" s="4"/>
      <c r="AR373" s="4"/>
      <c r="AS373" s="4"/>
      <c r="AT373" s="4"/>
      <c r="AU373" s="4"/>
      <c r="AV373" s="4"/>
    </row>
    <row r="374" spans="1:48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245"/>
      <c r="AQ374" s="4"/>
      <c r="AR374" s="4"/>
      <c r="AS374" s="4"/>
      <c r="AT374" s="4"/>
      <c r="AU374" s="4"/>
      <c r="AV374" s="4"/>
    </row>
    <row r="375" spans="1:48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245"/>
      <c r="AQ375" s="4"/>
      <c r="AR375" s="4"/>
      <c r="AS375" s="4"/>
      <c r="AT375" s="4"/>
      <c r="AU375" s="4"/>
      <c r="AV375" s="4"/>
    </row>
    <row r="376" spans="1:48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245"/>
      <c r="AQ376" s="4"/>
      <c r="AR376" s="4"/>
      <c r="AS376" s="4"/>
      <c r="AT376" s="4"/>
      <c r="AU376" s="4"/>
      <c r="AV376" s="4"/>
    </row>
    <row r="377" spans="1:48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245"/>
      <c r="AQ377" s="4"/>
      <c r="AR377" s="4"/>
      <c r="AS377" s="4"/>
      <c r="AT377" s="4"/>
      <c r="AU377" s="4"/>
      <c r="AV377" s="4"/>
    </row>
    <row r="378" spans="1:4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245"/>
      <c r="AQ378" s="4"/>
      <c r="AR378" s="4"/>
      <c r="AS378" s="4"/>
      <c r="AT378" s="4"/>
      <c r="AU378" s="4"/>
      <c r="AV378" s="4"/>
    </row>
    <row r="379" spans="1:48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245"/>
      <c r="AQ379" s="4"/>
      <c r="AR379" s="4"/>
      <c r="AS379" s="4"/>
      <c r="AT379" s="4"/>
      <c r="AU379" s="4"/>
      <c r="AV379" s="4"/>
    </row>
    <row r="380" spans="1:48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245"/>
      <c r="AQ380" s="4"/>
      <c r="AR380" s="4"/>
      <c r="AS380" s="4"/>
      <c r="AT380" s="4"/>
      <c r="AU380" s="4"/>
      <c r="AV380" s="4"/>
    </row>
    <row r="381" spans="1:48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245"/>
      <c r="AQ381" s="4"/>
      <c r="AR381" s="4"/>
      <c r="AS381" s="4"/>
      <c r="AT381" s="4"/>
      <c r="AU381" s="4"/>
      <c r="AV381" s="4"/>
    </row>
    <row r="382" spans="1:48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245"/>
      <c r="AQ382" s="4"/>
      <c r="AR382" s="4"/>
      <c r="AS382" s="4"/>
      <c r="AT382" s="4"/>
      <c r="AU382" s="4"/>
      <c r="AV382" s="4"/>
    </row>
    <row r="383" spans="1:48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245"/>
      <c r="AQ383" s="4"/>
      <c r="AR383" s="4"/>
      <c r="AS383" s="4"/>
      <c r="AT383" s="4"/>
      <c r="AU383" s="4"/>
      <c r="AV383" s="4"/>
    </row>
    <row r="384" spans="1:48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245"/>
      <c r="AQ384" s="4"/>
      <c r="AR384" s="4"/>
      <c r="AS384" s="4"/>
      <c r="AT384" s="4"/>
      <c r="AU384" s="4"/>
      <c r="AV384" s="4"/>
    </row>
    <row r="385" spans="1:48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245"/>
      <c r="AQ385" s="4"/>
      <c r="AR385" s="4"/>
      <c r="AS385" s="4"/>
      <c r="AT385" s="4"/>
      <c r="AU385" s="4"/>
      <c r="AV385" s="4"/>
    </row>
    <row r="386" spans="1:48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245"/>
      <c r="AQ386" s="4"/>
      <c r="AR386" s="4"/>
      <c r="AS386" s="4"/>
      <c r="AT386" s="4"/>
      <c r="AU386" s="4"/>
      <c r="AV386" s="4"/>
    </row>
    <row r="387" spans="1:48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245"/>
      <c r="AQ387" s="4"/>
      <c r="AR387" s="4"/>
      <c r="AS387" s="4"/>
      <c r="AT387" s="4"/>
      <c r="AU387" s="4"/>
      <c r="AV387" s="4"/>
    </row>
    <row r="388" spans="1:4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245"/>
      <c r="AQ388" s="4"/>
      <c r="AR388" s="4"/>
      <c r="AS388" s="4"/>
      <c r="AT388" s="4"/>
      <c r="AU388" s="4"/>
      <c r="AV388" s="4"/>
    </row>
    <row r="389" spans="1:48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245"/>
      <c r="AQ389" s="4"/>
      <c r="AR389" s="4"/>
      <c r="AS389" s="4"/>
      <c r="AT389" s="4"/>
      <c r="AU389" s="4"/>
      <c r="AV389" s="4"/>
    </row>
    <row r="390" spans="1:48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245"/>
      <c r="AQ390" s="4"/>
      <c r="AR390" s="4"/>
      <c r="AS390" s="4"/>
      <c r="AT390" s="4"/>
      <c r="AU390" s="4"/>
      <c r="AV390" s="4"/>
    </row>
    <row r="391" spans="1:48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245"/>
      <c r="AQ391" s="4"/>
      <c r="AR391" s="4"/>
      <c r="AS391" s="4"/>
      <c r="AT391" s="4"/>
      <c r="AU391" s="4"/>
      <c r="AV391" s="4"/>
    </row>
    <row r="392" spans="1:48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245"/>
      <c r="AQ392" s="4"/>
      <c r="AR392" s="4"/>
      <c r="AS392" s="4"/>
      <c r="AT392" s="4"/>
      <c r="AU392" s="4"/>
      <c r="AV392" s="4"/>
    </row>
    <row r="393" spans="1:48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245"/>
      <c r="AQ393" s="4"/>
      <c r="AR393" s="4"/>
      <c r="AS393" s="4"/>
      <c r="AT393" s="4"/>
      <c r="AU393" s="4"/>
      <c r="AV393" s="4"/>
    </row>
    <row r="394" spans="1:48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245"/>
      <c r="AQ394" s="4"/>
      <c r="AR394" s="4"/>
      <c r="AS394" s="4"/>
      <c r="AT394" s="4"/>
      <c r="AU394" s="4"/>
      <c r="AV394" s="4"/>
    </row>
    <row r="395" spans="1:48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245"/>
      <c r="AQ395" s="4"/>
      <c r="AR395" s="4"/>
      <c r="AS395" s="4"/>
      <c r="AT395" s="4"/>
      <c r="AU395" s="4"/>
      <c r="AV395" s="4"/>
    </row>
    <row r="396" spans="1:48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245"/>
      <c r="AQ396" s="4"/>
      <c r="AR396" s="4"/>
      <c r="AS396" s="4"/>
      <c r="AT396" s="4"/>
      <c r="AU396" s="4"/>
      <c r="AV396" s="4"/>
    </row>
    <row r="397" spans="1:48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245"/>
      <c r="AQ397" s="4"/>
      <c r="AR397" s="4"/>
      <c r="AS397" s="4"/>
      <c r="AT397" s="4"/>
      <c r="AU397" s="4"/>
      <c r="AV397" s="4"/>
    </row>
    <row r="398" spans="1:4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245"/>
      <c r="AQ398" s="4"/>
      <c r="AR398" s="4"/>
      <c r="AS398" s="4"/>
      <c r="AT398" s="4"/>
      <c r="AU398" s="4"/>
      <c r="AV398" s="4"/>
    </row>
    <row r="399" spans="1:48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245"/>
      <c r="AQ399" s="4"/>
      <c r="AR399" s="4"/>
      <c r="AS399" s="4"/>
      <c r="AT399" s="4"/>
      <c r="AU399" s="4"/>
      <c r="AV399" s="4"/>
    </row>
    <row r="400" spans="1:48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245"/>
      <c r="AQ400" s="4"/>
      <c r="AR400" s="4"/>
      <c r="AS400" s="4"/>
      <c r="AT400" s="4"/>
      <c r="AU400" s="4"/>
      <c r="AV400" s="4"/>
    </row>
    <row r="401" spans="1:48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245"/>
      <c r="AQ401" s="4"/>
      <c r="AR401" s="4"/>
      <c r="AS401" s="4"/>
      <c r="AT401" s="4"/>
      <c r="AU401" s="4"/>
      <c r="AV401" s="4"/>
    </row>
    <row r="402" spans="1:48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245"/>
      <c r="AQ402" s="4"/>
      <c r="AR402" s="4"/>
      <c r="AS402" s="4"/>
      <c r="AT402" s="4"/>
      <c r="AU402" s="4"/>
      <c r="AV402" s="4"/>
    </row>
    <row r="403" spans="1:48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245"/>
      <c r="AQ403" s="4"/>
      <c r="AR403" s="4"/>
      <c r="AS403" s="4"/>
      <c r="AT403" s="4"/>
      <c r="AU403" s="4"/>
      <c r="AV403" s="4"/>
    </row>
    <row r="404" spans="1:48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245"/>
      <c r="AQ404" s="4"/>
      <c r="AR404" s="4"/>
      <c r="AS404" s="4"/>
      <c r="AT404" s="4"/>
      <c r="AU404" s="4"/>
      <c r="AV404" s="4"/>
    </row>
    <row r="405" spans="1:48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245"/>
      <c r="AQ405" s="4"/>
      <c r="AR405" s="4"/>
      <c r="AS405" s="4"/>
      <c r="AT405" s="4"/>
      <c r="AU405" s="4"/>
      <c r="AV405" s="4"/>
    </row>
    <row r="406" spans="1:48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245"/>
      <c r="AQ406" s="4"/>
      <c r="AR406" s="4"/>
      <c r="AS406" s="4"/>
      <c r="AT406" s="4"/>
      <c r="AU406" s="4"/>
      <c r="AV406" s="4"/>
    </row>
    <row r="407" spans="1:48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245"/>
      <c r="AQ407" s="4"/>
      <c r="AR407" s="4"/>
      <c r="AS407" s="4"/>
      <c r="AT407" s="4"/>
      <c r="AU407" s="4"/>
      <c r="AV407" s="4"/>
    </row>
    <row r="408" spans="1:4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245"/>
      <c r="AQ408" s="4"/>
      <c r="AR408" s="4"/>
      <c r="AS408" s="4"/>
      <c r="AT408" s="4"/>
      <c r="AU408" s="4"/>
      <c r="AV408" s="4"/>
    </row>
    <row r="409" spans="1:48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245"/>
      <c r="AQ409" s="4"/>
      <c r="AR409" s="4"/>
      <c r="AS409" s="4"/>
      <c r="AT409" s="4"/>
      <c r="AU409" s="4"/>
      <c r="AV409" s="4"/>
    </row>
    <row r="410" spans="1:48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245"/>
      <c r="AQ410" s="4"/>
      <c r="AR410" s="4"/>
      <c r="AS410" s="4"/>
      <c r="AT410" s="4"/>
      <c r="AU410" s="4"/>
      <c r="AV410" s="4"/>
    </row>
    <row r="411" spans="1:48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245"/>
      <c r="AQ411" s="4"/>
      <c r="AR411" s="4"/>
      <c r="AS411" s="4"/>
      <c r="AT411" s="4"/>
      <c r="AU411" s="4"/>
      <c r="AV411" s="4"/>
    </row>
    <row r="412" spans="1:48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245"/>
      <c r="AQ412" s="4"/>
      <c r="AR412" s="4"/>
      <c r="AS412" s="4"/>
      <c r="AT412" s="4"/>
      <c r="AU412" s="4"/>
      <c r="AV412" s="4"/>
    </row>
    <row r="413" spans="1:48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245"/>
      <c r="AQ413" s="4"/>
      <c r="AR413" s="4"/>
      <c r="AS413" s="4"/>
      <c r="AT413" s="4"/>
      <c r="AU413" s="4"/>
      <c r="AV413" s="4"/>
    </row>
    <row r="414" spans="1:48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245"/>
      <c r="AQ414" s="4"/>
      <c r="AR414" s="4"/>
      <c r="AS414" s="4"/>
      <c r="AT414" s="4"/>
      <c r="AU414" s="4"/>
      <c r="AV414" s="4"/>
    </row>
    <row r="415" spans="1:48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245"/>
      <c r="AQ415" s="4"/>
      <c r="AR415" s="4"/>
      <c r="AS415" s="4"/>
      <c r="AT415" s="4"/>
      <c r="AU415" s="4"/>
      <c r="AV415" s="4"/>
    </row>
    <row r="416" spans="1:48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245"/>
      <c r="AQ416" s="4"/>
      <c r="AR416" s="4"/>
      <c r="AS416" s="4"/>
      <c r="AT416" s="4"/>
      <c r="AU416" s="4"/>
      <c r="AV416" s="4"/>
    </row>
    <row r="417" spans="1:48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245"/>
      <c r="AQ417" s="4"/>
      <c r="AR417" s="4"/>
      <c r="AS417" s="4"/>
      <c r="AT417" s="4"/>
      <c r="AU417" s="4"/>
      <c r="AV417" s="4"/>
    </row>
    <row r="418" spans="1:4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245"/>
      <c r="AQ418" s="4"/>
      <c r="AR418" s="4"/>
      <c r="AS418" s="4"/>
      <c r="AT418" s="4"/>
      <c r="AU418" s="4"/>
      <c r="AV418" s="4"/>
    </row>
    <row r="419" spans="1:48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245"/>
      <c r="AQ419" s="4"/>
      <c r="AR419" s="4"/>
      <c r="AS419" s="4"/>
      <c r="AT419" s="4"/>
      <c r="AU419" s="4"/>
      <c r="AV419" s="4"/>
    </row>
    <row r="420" spans="1:48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245"/>
      <c r="AQ420" s="4"/>
      <c r="AR420" s="4"/>
      <c r="AS420" s="4"/>
      <c r="AT420" s="4"/>
      <c r="AU420" s="4"/>
      <c r="AV420" s="4"/>
    </row>
    <row r="421" spans="1:48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245"/>
      <c r="AQ421" s="4"/>
      <c r="AR421" s="4"/>
      <c r="AS421" s="4"/>
      <c r="AT421" s="4"/>
      <c r="AU421" s="4"/>
      <c r="AV421" s="4"/>
    </row>
    <row r="422" spans="1:48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245"/>
      <c r="AQ422" s="4"/>
      <c r="AR422" s="4"/>
      <c r="AS422" s="4"/>
      <c r="AT422" s="4"/>
      <c r="AU422" s="4"/>
      <c r="AV422" s="4"/>
    </row>
    <row r="423" spans="1:48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245"/>
      <c r="AQ423" s="4"/>
      <c r="AR423" s="4"/>
      <c r="AS423" s="4"/>
      <c r="AT423" s="4"/>
      <c r="AU423" s="4"/>
      <c r="AV423" s="4"/>
    </row>
    <row r="424" spans="1:48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245"/>
      <c r="AQ424" s="4"/>
      <c r="AR424" s="4"/>
      <c r="AS424" s="4"/>
      <c r="AT424" s="4"/>
      <c r="AU424" s="4"/>
      <c r="AV424" s="4"/>
    </row>
    <row r="425" spans="1:48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245"/>
      <c r="AQ425" s="4"/>
      <c r="AR425" s="4"/>
      <c r="AS425" s="4"/>
      <c r="AT425" s="4"/>
      <c r="AU425" s="4"/>
      <c r="AV425" s="4"/>
    </row>
    <row r="426" spans="1:48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245"/>
      <c r="AQ426" s="4"/>
      <c r="AR426" s="4"/>
      <c r="AS426" s="4"/>
      <c r="AT426" s="4"/>
      <c r="AU426" s="4"/>
      <c r="AV426" s="4"/>
    </row>
    <row r="427" spans="1:48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245"/>
      <c r="AQ427" s="4"/>
      <c r="AR427" s="4"/>
      <c r="AS427" s="4"/>
      <c r="AT427" s="4"/>
      <c r="AU427" s="4"/>
      <c r="AV427" s="4"/>
    </row>
    <row r="428" spans="1:4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245"/>
      <c r="AQ428" s="4"/>
      <c r="AR428" s="4"/>
      <c r="AS428" s="4"/>
      <c r="AT428" s="4"/>
      <c r="AU428" s="4"/>
      <c r="AV428" s="4"/>
    </row>
    <row r="429" spans="1:48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245"/>
      <c r="AQ429" s="4"/>
      <c r="AR429" s="4"/>
      <c r="AS429" s="4"/>
      <c r="AT429" s="4"/>
      <c r="AU429" s="4"/>
      <c r="AV429" s="4"/>
    </row>
    <row r="430" spans="1:48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245"/>
      <c r="AQ430" s="4"/>
      <c r="AR430" s="4"/>
      <c r="AS430" s="4"/>
      <c r="AT430" s="4"/>
      <c r="AU430" s="4"/>
      <c r="AV430" s="4"/>
    </row>
    <row r="431" spans="1:48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245"/>
      <c r="AQ431" s="4"/>
      <c r="AR431" s="4"/>
      <c r="AS431" s="4"/>
      <c r="AT431" s="4"/>
      <c r="AU431" s="4"/>
      <c r="AV431" s="4"/>
    </row>
    <row r="432" spans="1:48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245"/>
      <c r="AQ432" s="4"/>
      <c r="AR432" s="4"/>
      <c r="AS432" s="4"/>
      <c r="AT432" s="4"/>
      <c r="AU432" s="4"/>
      <c r="AV432" s="4"/>
    </row>
    <row r="433" spans="1:48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245"/>
      <c r="AQ433" s="4"/>
      <c r="AR433" s="4"/>
      <c r="AS433" s="4"/>
      <c r="AT433" s="4"/>
      <c r="AU433" s="4"/>
      <c r="AV433" s="4"/>
    </row>
    <row r="434" spans="1:48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245"/>
      <c r="AQ434" s="4"/>
      <c r="AR434" s="4"/>
      <c r="AS434" s="4"/>
      <c r="AT434" s="4"/>
      <c r="AU434" s="4"/>
      <c r="AV434" s="4"/>
    </row>
    <row r="435" spans="1:48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245"/>
      <c r="AQ435" s="4"/>
      <c r="AR435" s="4"/>
      <c r="AS435" s="4"/>
      <c r="AT435" s="4"/>
      <c r="AU435" s="4"/>
      <c r="AV435" s="4"/>
    </row>
    <row r="436" spans="1:48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245"/>
      <c r="AQ436" s="4"/>
      <c r="AR436" s="4"/>
      <c r="AS436" s="4"/>
      <c r="AT436" s="4"/>
      <c r="AU436" s="4"/>
      <c r="AV436" s="4"/>
    </row>
    <row r="437" spans="1:48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245"/>
      <c r="AQ437" s="4"/>
      <c r="AR437" s="4"/>
      <c r="AS437" s="4"/>
      <c r="AT437" s="4"/>
      <c r="AU437" s="4"/>
      <c r="AV437" s="4"/>
    </row>
    <row r="438" spans="1:4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245"/>
      <c r="AQ438" s="4"/>
      <c r="AR438" s="4"/>
      <c r="AS438" s="4"/>
      <c r="AT438" s="4"/>
      <c r="AU438" s="4"/>
      <c r="AV438" s="4"/>
    </row>
    <row r="439" spans="1:48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245"/>
      <c r="AQ439" s="4"/>
      <c r="AR439" s="4"/>
      <c r="AS439" s="4"/>
      <c r="AT439" s="4"/>
      <c r="AU439" s="4"/>
      <c r="AV439" s="4"/>
    </row>
    <row r="440" spans="1:48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245"/>
      <c r="AQ440" s="4"/>
      <c r="AR440" s="4"/>
      <c r="AS440" s="4"/>
      <c r="AT440" s="4"/>
      <c r="AU440" s="4"/>
      <c r="AV440" s="4"/>
    </row>
    <row r="441" spans="1:48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245"/>
      <c r="AQ441" s="4"/>
      <c r="AR441" s="4"/>
      <c r="AS441" s="4"/>
      <c r="AT441" s="4"/>
      <c r="AU441" s="4"/>
      <c r="AV441" s="4"/>
    </row>
    <row r="442" spans="1:48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245"/>
      <c r="AQ442" s="4"/>
      <c r="AR442" s="4"/>
      <c r="AS442" s="4"/>
      <c r="AT442" s="4"/>
      <c r="AU442" s="4"/>
      <c r="AV442" s="4"/>
    </row>
    <row r="443" spans="1:48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245"/>
      <c r="AQ443" s="4"/>
      <c r="AR443" s="4"/>
      <c r="AS443" s="4"/>
      <c r="AT443" s="4"/>
      <c r="AU443" s="4"/>
      <c r="AV443" s="4"/>
    </row>
    <row r="444" spans="1:48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245"/>
      <c r="AQ444" s="4"/>
      <c r="AR444" s="4"/>
      <c r="AS444" s="4"/>
      <c r="AT444" s="4"/>
      <c r="AU444" s="4"/>
      <c r="AV444" s="4"/>
    </row>
    <row r="445" spans="1:48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245"/>
      <c r="AQ445" s="4"/>
      <c r="AR445" s="4"/>
      <c r="AS445" s="4"/>
      <c r="AT445" s="4"/>
      <c r="AU445" s="4"/>
      <c r="AV445" s="4"/>
    </row>
    <row r="446" spans="1:48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245"/>
      <c r="AQ446" s="4"/>
      <c r="AR446" s="4"/>
      <c r="AS446" s="4"/>
      <c r="AT446" s="4"/>
      <c r="AU446" s="4"/>
      <c r="AV446" s="4"/>
    </row>
    <row r="447" spans="1:48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245"/>
      <c r="AQ447" s="4"/>
      <c r="AR447" s="4"/>
      <c r="AS447" s="4"/>
      <c r="AT447" s="4"/>
      <c r="AU447" s="4"/>
      <c r="AV447" s="4"/>
    </row>
    <row r="448" spans="1: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245"/>
      <c r="AQ448" s="4"/>
      <c r="AR448" s="4"/>
      <c r="AS448" s="4"/>
      <c r="AT448" s="4"/>
      <c r="AU448" s="4"/>
      <c r="AV448" s="4"/>
    </row>
    <row r="449" spans="1:48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245"/>
      <c r="AQ449" s="4"/>
      <c r="AR449" s="4"/>
      <c r="AS449" s="4"/>
      <c r="AT449" s="4"/>
      <c r="AU449" s="4"/>
      <c r="AV449" s="4"/>
    </row>
    <row r="450" spans="1:48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245"/>
      <c r="AQ450" s="4"/>
      <c r="AR450" s="4"/>
      <c r="AS450" s="4"/>
      <c r="AT450" s="4"/>
      <c r="AU450" s="4"/>
      <c r="AV450" s="4"/>
    </row>
    <row r="451" spans="1:48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245"/>
      <c r="AQ451" s="4"/>
      <c r="AR451" s="4"/>
      <c r="AS451" s="4"/>
      <c r="AT451" s="4"/>
      <c r="AU451" s="4"/>
      <c r="AV451" s="4"/>
    </row>
    <row r="452" spans="1:48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245"/>
      <c r="AQ452" s="4"/>
      <c r="AR452" s="4"/>
      <c r="AS452" s="4"/>
      <c r="AT452" s="4"/>
      <c r="AU452" s="4"/>
      <c r="AV452" s="4"/>
    </row>
    <row r="453" spans="1:48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245"/>
      <c r="AQ453" s="4"/>
      <c r="AR453" s="4"/>
      <c r="AS453" s="4"/>
      <c r="AT453" s="4"/>
      <c r="AU453" s="4"/>
      <c r="AV453" s="4"/>
    </row>
    <row r="454" spans="1:48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245"/>
      <c r="AQ454" s="4"/>
      <c r="AR454" s="4"/>
      <c r="AS454" s="4"/>
      <c r="AT454" s="4"/>
      <c r="AU454" s="4"/>
      <c r="AV454" s="4"/>
    </row>
    <row r="455" spans="1:48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245"/>
      <c r="AQ455" s="4"/>
      <c r="AR455" s="4"/>
      <c r="AS455" s="4"/>
      <c r="AT455" s="4"/>
      <c r="AU455" s="4"/>
      <c r="AV455" s="4"/>
    </row>
    <row r="456" spans="1:48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245"/>
      <c r="AQ456" s="4"/>
      <c r="AR456" s="4"/>
      <c r="AS456" s="4"/>
      <c r="AT456" s="4"/>
      <c r="AU456" s="4"/>
      <c r="AV456" s="4"/>
    </row>
    <row r="457" spans="1:48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245"/>
      <c r="AQ457" s="4"/>
      <c r="AR457" s="4"/>
      <c r="AS457" s="4"/>
      <c r="AT457" s="4"/>
      <c r="AU457" s="4"/>
      <c r="AV457" s="4"/>
    </row>
    <row r="458" spans="1:4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245"/>
      <c r="AQ458" s="4"/>
      <c r="AR458" s="4"/>
      <c r="AS458" s="4"/>
      <c r="AT458" s="4"/>
      <c r="AU458" s="4"/>
      <c r="AV458" s="4"/>
    </row>
    <row r="459" spans="1:48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245"/>
      <c r="AQ459" s="4"/>
      <c r="AR459" s="4"/>
      <c r="AS459" s="4"/>
      <c r="AT459" s="4"/>
      <c r="AU459" s="4"/>
      <c r="AV459" s="4"/>
    </row>
    <row r="460" spans="1:48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245"/>
      <c r="AQ460" s="4"/>
      <c r="AR460" s="4"/>
      <c r="AS460" s="4"/>
      <c r="AT460" s="4"/>
      <c r="AU460" s="4"/>
      <c r="AV460" s="4"/>
    </row>
    <row r="461" spans="1:48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245"/>
      <c r="AQ461" s="4"/>
      <c r="AR461" s="4"/>
      <c r="AS461" s="4"/>
      <c r="AT461" s="4"/>
      <c r="AU461" s="4"/>
      <c r="AV461" s="4"/>
    </row>
    <row r="462" spans="1:48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245"/>
      <c r="AQ462" s="4"/>
      <c r="AR462" s="4"/>
      <c r="AS462" s="4"/>
      <c r="AT462" s="4"/>
      <c r="AU462" s="4"/>
      <c r="AV462" s="4"/>
    </row>
    <row r="463" spans="1:48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245"/>
      <c r="AQ463" s="4"/>
      <c r="AR463" s="4"/>
      <c r="AS463" s="4"/>
      <c r="AT463" s="4"/>
      <c r="AU463" s="4"/>
      <c r="AV463" s="4"/>
    </row>
    <row r="464" spans="1:48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245"/>
      <c r="AQ464" s="4"/>
      <c r="AR464" s="4"/>
      <c r="AS464" s="4"/>
      <c r="AT464" s="4"/>
      <c r="AU464" s="4"/>
      <c r="AV464" s="4"/>
    </row>
    <row r="465" spans="1:48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245"/>
      <c r="AQ465" s="4"/>
      <c r="AR465" s="4"/>
      <c r="AS465" s="4"/>
      <c r="AT465" s="4"/>
      <c r="AU465" s="4"/>
      <c r="AV465" s="4"/>
    </row>
    <row r="466" spans="1:48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245"/>
      <c r="AQ466" s="4"/>
      <c r="AR466" s="4"/>
      <c r="AS466" s="4"/>
      <c r="AT466" s="4"/>
      <c r="AU466" s="4"/>
      <c r="AV466" s="4"/>
    </row>
    <row r="467" spans="1:48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245"/>
      <c r="AQ467" s="4"/>
      <c r="AR467" s="4"/>
      <c r="AS467" s="4"/>
      <c r="AT467" s="4"/>
      <c r="AU467" s="4"/>
      <c r="AV467" s="4"/>
    </row>
    <row r="468" spans="1:4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245"/>
      <c r="AQ468" s="4"/>
      <c r="AR468" s="4"/>
      <c r="AS468" s="4"/>
      <c r="AT468" s="4"/>
      <c r="AU468" s="4"/>
      <c r="AV468" s="4"/>
    </row>
    <row r="469" spans="1:48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245"/>
      <c r="AQ469" s="4"/>
      <c r="AR469" s="4"/>
      <c r="AS469" s="4"/>
      <c r="AT469" s="4"/>
      <c r="AU469" s="4"/>
      <c r="AV469" s="4"/>
    </row>
    <row r="470" spans="1:48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245"/>
      <c r="AQ470" s="4"/>
      <c r="AR470" s="4"/>
      <c r="AS470" s="4"/>
      <c r="AT470" s="4"/>
      <c r="AU470" s="4"/>
      <c r="AV470" s="4"/>
    </row>
    <row r="471" spans="1:48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245"/>
      <c r="AQ471" s="4"/>
      <c r="AR471" s="4"/>
      <c r="AS471" s="4"/>
      <c r="AT471" s="4"/>
      <c r="AU471" s="4"/>
      <c r="AV471" s="4"/>
    </row>
    <row r="472" spans="1:48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245"/>
      <c r="AQ472" s="4"/>
      <c r="AR472" s="4"/>
      <c r="AS472" s="4"/>
      <c r="AT472" s="4"/>
      <c r="AU472" s="4"/>
      <c r="AV472" s="4"/>
    </row>
    <row r="473" spans="1:48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245"/>
      <c r="AQ473" s="4"/>
      <c r="AR473" s="4"/>
      <c r="AS473" s="4"/>
      <c r="AT473" s="4"/>
      <c r="AU473" s="4"/>
      <c r="AV473" s="4"/>
    </row>
    <row r="474" spans="1:48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245"/>
      <c r="AQ474" s="4"/>
      <c r="AR474" s="4"/>
      <c r="AS474" s="4"/>
      <c r="AT474" s="4"/>
      <c r="AU474" s="4"/>
      <c r="AV474" s="4"/>
    </row>
    <row r="475" spans="1:48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245"/>
      <c r="AQ475" s="4"/>
      <c r="AR475" s="4"/>
      <c r="AS475" s="4"/>
      <c r="AT475" s="4"/>
      <c r="AU475" s="4"/>
      <c r="AV475" s="4"/>
    </row>
    <row r="476" spans="1:48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245"/>
      <c r="AQ476" s="4"/>
      <c r="AR476" s="4"/>
      <c r="AS476" s="4"/>
      <c r="AT476" s="4"/>
      <c r="AU476" s="4"/>
      <c r="AV476" s="4"/>
    </row>
    <row r="477" spans="1:48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245"/>
      <c r="AQ477" s="4"/>
      <c r="AR477" s="4"/>
      <c r="AS477" s="4"/>
      <c r="AT477" s="4"/>
      <c r="AU477" s="4"/>
      <c r="AV477" s="4"/>
    </row>
    <row r="478" spans="1:4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245"/>
      <c r="AQ478" s="4"/>
      <c r="AR478" s="4"/>
      <c r="AS478" s="4"/>
      <c r="AT478" s="4"/>
      <c r="AU478" s="4"/>
      <c r="AV478" s="4"/>
    </row>
    <row r="479" spans="1:48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245"/>
      <c r="AQ479" s="4"/>
      <c r="AR479" s="4"/>
      <c r="AS479" s="4"/>
      <c r="AT479" s="4"/>
      <c r="AU479" s="4"/>
      <c r="AV479" s="4"/>
    </row>
    <row r="480" spans="1:48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245"/>
      <c r="AQ480" s="4"/>
      <c r="AR480" s="4"/>
      <c r="AS480" s="4"/>
      <c r="AT480" s="4"/>
      <c r="AU480" s="4"/>
      <c r="AV480" s="4"/>
    </row>
    <row r="481" spans="1:48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245"/>
      <c r="AQ481" s="4"/>
      <c r="AR481" s="4"/>
      <c r="AS481" s="4"/>
      <c r="AT481" s="4"/>
      <c r="AU481" s="4"/>
      <c r="AV481" s="4"/>
    </row>
    <row r="482" spans="1:48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245"/>
      <c r="AQ482" s="4"/>
      <c r="AR482" s="4"/>
      <c r="AS482" s="4"/>
      <c r="AT482" s="4"/>
      <c r="AU482" s="4"/>
      <c r="AV482" s="4"/>
    </row>
    <row r="483" spans="1:48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245"/>
      <c r="AQ483" s="4"/>
      <c r="AR483" s="4"/>
      <c r="AS483" s="4"/>
      <c r="AT483" s="4"/>
      <c r="AU483" s="4"/>
      <c r="AV483" s="4"/>
    </row>
    <row r="484" spans="1:48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245"/>
      <c r="AQ484" s="4"/>
      <c r="AR484" s="4"/>
      <c r="AS484" s="4"/>
      <c r="AT484" s="4"/>
      <c r="AU484" s="4"/>
      <c r="AV484" s="4"/>
    </row>
    <row r="485" spans="1:48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245"/>
      <c r="AQ485" s="4"/>
      <c r="AR485" s="4"/>
      <c r="AS485" s="4"/>
      <c r="AT485" s="4"/>
      <c r="AU485" s="4"/>
      <c r="AV485" s="4"/>
    </row>
    <row r="486" spans="1:48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245"/>
      <c r="AQ486" s="4"/>
      <c r="AR486" s="4"/>
      <c r="AS486" s="4"/>
      <c r="AT486" s="4"/>
      <c r="AU486" s="4"/>
      <c r="AV486" s="4"/>
    </row>
    <row r="487" spans="1:48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245"/>
      <c r="AQ487" s="4"/>
      <c r="AR487" s="4"/>
      <c r="AS487" s="4"/>
      <c r="AT487" s="4"/>
      <c r="AU487" s="4"/>
      <c r="AV487" s="4"/>
    </row>
    <row r="488" spans="1:4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245"/>
      <c r="AQ488" s="4"/>
      <c r="AR488" s="4"/>
      <c r="AS488" s="4"/>
      <c r="AT488" s="4"/>
      <c r="AU488" s="4"/>
      <c r="AV488" s="4"/>
    </row>
    <row r="489" spans="1:48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245"/>
      <c r="AQ489" s="4"/>
      <c r="AR489" s="4"/>
      <c r="AS489" s="4"/>
      <c r="AT489" s="4"/>
      <c r="AU489" s="4"/>
      <c r="AV489" s="4"/>
    </row>
    <row r="490" spans="1:48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245"/>
      <c r="AQ490" s="4"/>
      <c r="AR490" s="4"/>
      <c r="AS490" s="4"/>
      <c r="AT490" s="4"/>
      <c r="AU490" s="4"/>
      <c r="AV490" s="4"/>
    </row>
    <row r="491" spans="1:48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245"/>
      <c r="AQ491" s="4"/>
      <c r="AR491" s="4"/>
      <c r="AS491" s="4"/>
      <c r="AT491" s="4"/>
      <c r="AU491" s="4"/>
      <c r="AV491" s="4"/>
    </row>
    <row r="492" spans="1:48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245"/>
      <c r="AQ492" s="4"/>
      <c r="AR492" s="4"/>
      <c r="AS492" s="4"/>
      <c r="AT492" s="4"/>
      <c r="AU492" s="4"/>
      <c r="AV492" s="4"/>
    </row>
    <row r="493" spans="1:48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245"/>
      <c r="AQ493" s="4"/>
      <c r="AR493" s="4"/>
      <c r="AS493" s="4"/>
      <c r="AT493" s="4"/>
      <c r="AU493" s="4"/>
      <c r="AV493" s="4"/>
    </row>
    <row r="494" spans="1:48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245"/>
      <c r="AQ494" s="4"/>
      <c r="AR494" s="4"/>
      <c r="AS494" s="4"/>
      <c r="AT494" s="4"/>
      <c r="AU494" s="4"/>
      <c r="AV494" s="4"/>
    </row>
    <row r="495" spans="1:48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245"/>
      <c r="AQ495" s="4"/>
      <c r="AR495" s="4"/>
      <c r="AS495" s="4"/>
      <c r="AT495" s="4"/>
      <c r="AU495" s="4"/>
      <c r="AV495" s="4"/>
    </row>
    <row r="496" spans="1:48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245"/>
      <c r="AQ496" s="4"/>
      <c r="AR496" s="4"/>
      <c r="AS496" s="4"/>
      <c r="AT496" s="4"/>
      <c r="AU496" s="4"/>
      <c r="AV496" s="4"/>
    </row>
    <row r="497" spans="1:48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245"/>
      <c r="AQ497" s="4"/>
      <c r="AR497" s="4"/>
      <c r="AS497" s="4"/>
      <c r="AT497" s="4"/>
      <c r="AU497" s="4"/>
      <c r="AV497" s="4"/>
    </row>
    <row r="498" spans="1:4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245"/>
      <c r="AQ498" s="4"/>
      <c r="AR498" s="4"/>
      <c r="AS498" s="4"/>
      <c r="AT498" s="4"/>
      <c r="AU498" s="4"/>
      <c r="AV498" s="4"/>
    </row>
    <row r="499" spans="1:48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245"/>
      <c r="AQ499" s="4"/>
      <c r="AR499" s="4"/>
      <c r="AS499" s="4"/>
      <c r="AT499" s="4"/>
      <c r="AU499" s="4"/>
      <c r="AV499" s="4"/>
    </row>
    <row r="500" spans="1:48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245"/>
      <c r="AQ500" s="4"/>
      <c r="AR500" s="4"/>
      <c r="AS500" s="4"/>
      <c r="AT500" s="4"/>
      <c r="AU500" s="4"/>
      <c r="AV500" s="4"/>
    </row>
    <row r="501" spans="1:48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245"/>
      <c r="AQ501" s="4"/>
      <c r="AR501" s="4"/>
      <c r="AS501" s="4"/>
      <c r="AT501" s="4"/>
      <c r="AU501" s="4"/>
      <c r="AV501" s="4"/>
    </row>
    <row r="502" spans="1:48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245"/>
      <c r="AQ502" s="4"/>
      <c r="AR502" s="4"/>
      <c r="AS502" s="4"/>
      <c r="AT502" s="4"/>
      <c r="AU502" s="4"/>
      <c r="AV502" s="4"/>
    </row>
    <row r="503" spans="1:48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245"/>
      <c r="AQ503" s="4"/>
      <c r="AR503" s="4"/>
      <c r="AS503" s="4"/>
      <c r="AT503" s="4"/>
      <c r="AU503" s="4"/>
      <c r="AV503" s="4"/>
    </row>
    <row r="504" spans="1:48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245"/>
      <c r="AQ504" s="4"/>
      <c r="AR504" s="4"/>
      <c r="AS504" s="4"/>
      <c r="AT504" s="4"/>
      <c r="AU504" s="4"/>
      <c r="AV504" s="4"/>
    </row>
    <row r="505" spans="1:48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245"/>
      <c r="AQ505" s="4"/>
      <c r="AR505" s="4"/>
      <c r="AS505" s="4"/>
      <c r="AT505" s="4"/>
      <c r="AU505" s="4"/>
      <c r="AV505" s="4"/>
    </row>
    <row r="506" spans="1:48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245"/>
      <c r="AQ506" s="4"/>
      <c r="AR506" s="4"/>
      <c r="AS506" s="4"/>
      <c r="AT506" s="4"/>
      <c r="AU506" s="4"/>
      <c r="AV506" s="4"/>
    </row>
    <row r="507" spans="1:48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245"/>
      <c r="AQ507" s="4"/>
      <c r="AR507" s="4"/>
      <c r="AS507" s="4"/>
      <c r="AT507" s="4"/>
      <c r="AU507" s="4"/>
      <c r="AV507" s="4"/>
    </row>
    <row r="508" spans="1:4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245"/>
      <c r="AQ508" s="4"/>
      <c r="AR508" s="4"/>
      <c r="AS508" s="4"/>
      <c r="AT508" s="4"/>
      <c r="AU508" s="4"/>
      <c r="AV508" s="4"/>
    </row>
    <row r="509" spans="1:48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245"/>
      <c r="AQ509" s="4"/>
      <c r="AR509" s="4"/>
      <c r="AS509" s="4"/>
      <c r="AT509" s="4"/>
      <c r="AU509" s="4"/>
      <c r="AV509" s="4"/>
    </row>
    <row r="510" spans="1:48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245"/>
      <c r="AQ510" s="4"/>
      <c r="AR510" s="4"/>
      <c r="AS510" s="4"/>
      <c r="AT510" s="4"/>
      <c r="AU510" s="4"/>
      <c r="AV510" s="4"/>
    </row>
    <row r="511" spans="1:48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245"/>
      <c r="AQ511" s="4"/>
      <c r="AR511" s="4"/>
      <c r="AS511" s="4"/>
      <c r="AT511" s="4"/>
      <c r="AU511" s="4"/>
      <c r="AV511" s="4"/>
    </row>
    <row r="512" spans="1:48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245"/>
      <c r="AQ512" s="4"/>
      <c r="AR512" s="4"/>
      <c r="AS512" s="4"/>
      <c r="AT512" s="4"/>
      <c r="AU512" s="4"/>
      <c r="AV512" s="4"/>
    </row>
    <row r="513" spans="1:48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245"/>
      <c r="AQ513" s="4"/>
      <c r="AR513" s="4"/>
      <c r="AS513" s="4"/>
      <c r="AT513" s="4"/>
      <c r="AU513" s="4"/>
      <c r="AV513" s="4"/>
    </row>
    <row r="514" spans="1:48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245"/>
      <c r="AQ514" s="4"/>
      <c r="AR514" s="4"/>
      <c r="AS514" s="4"/>
      <c r="AT514" s="4"/>
      <c r="AU514" s="4"/>
      <c r="AV514" s="4"/>
    </row>
    <row r="515" spans="1:48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245"/>
      <c r="AQ515" s="4"/>
      <c r="AR515" s="4"/>
      <c r="AS515" s="4"/>
      <c r="AT515" s="4"/>
      <c r="AU515" s="4"/>
      <c r="AV515" s="4"/>
    </row>
    <row r="516" spans="1:48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245"/>
      <c r="AQ516" s="4"/>
      <c r="AR516" s="4"/>
      <c r="AS516" s="4"/>
      <c r="AT516" s="4"/>
      <c r="AU516" s="4"/>
      <c r="AV516" s="4"/>
    </row>
    <row r="517" spans="1:48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245"/>
      <c r="AQ517" s="4"/>
      <c r="AR517" s="4"/>
      <c r="AS517" s="4"/>
      <c r="AT517" s="4"/>
      <c r="AU517" s="4"/>
      <c r="AV517" s="4"/>
    </row>
    <row r="518" spans="1:4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245"/>
      <c r="AQ518" s="4"/>
      <c r="AR518" s="4"/>
      <c r="AS518" s="4"/>
      <c r="AT518" s="4"/>
      <c r="AU518" s="4"/>
      <c r="AV518" s="4"/>
    </row>
    <row r="519" spans="1:48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245"/>
      <c r="AQ519" s="4"/>
      <c r="AR519" s="4"/>
      <c r="AS519" s="4"/>
      <c r="AT519" s="4"/>
      <c r="AU519" s="4"/>
      <c r="AV519" s="4"/>
    </row>
    <row r="520" spans="1:48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245"/>
      <c r="AQ520" s="4"/>
      <c r="AR520" s="4"/>
      <c r="AS520" s="4"/>
      <c r="AT520" s="4"/>
      <c r="AU520" s="4"/>
      <c r="AV520" s="4"/>
    </row>
    <row r="521" spans="1:48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245"/>
      <c r="AQ521" s="4"/>
      <c r="AR521" s="4"/>
      <c r="AS521" s="4"/>
      <c r="AT521" s="4"/>
      <c r="AU521" s="4"/>
      <c r="AV521" s="4"/>
    </row>
    <row r="522" spans="1:48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245"/>
      <c r="AQ522" s="4"/>
      <c r="AR522" s="4"/>
      <c r="AS522" s="4"/>
      <c r="AT522" s="4"/>
      <c r="AU522" s="4"/>
      <c r="AV522" s="4"/>
    </row>
    <row r="523" spans="1:48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245"/>
      <c r="AQ523" s="4"/>
      <c r="AR523" s="4"/>
      <c r="AS523" s="4"/>
      <c r="AT523" s="4"/>
      <c r="AU523" s="4"/>
      <c r="AV523" s="4"/>
    </row>
    <row r="524" spans="1:48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245"/>
      <c r="AQ524" s="4"/>
      <c r="AR524" s="4"/>
      <c r="AS524" s="4"/>
      <c r="AT524" s="4"/>
      <c r="AU524" s="4"/>
      <c r="AV524" s="4"/>
    </row>
    <row r="525" spans="1:48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245"/>
      <c r="AQ525" s="4"/>
      <c r="AR525" s="4"/>
      <c r="AS525" s="4"/>
      <c r="AT525" s="4"/>
      <c r="AU525" s="4"/>
      <c r="AV525" s="4"/>
    </row>
    <row r="526" spans="1:48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245"/>
      <c r="AQ526" s="4"/>
      <c r="AR526" s="4"/>
      <c r="AS526" s="4"/>
      <c r="AT526" s="4"/>
      <c r="AU526" s="4"/>
      <c r="AV526" s="4"/>
    </row>
    <row r="527" spans="1:48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245"/>
      <c r="AQ527" s="4"/>
      <c r="AR527" s="4"/>
      <c r="AS527" s="4"/>
      <c r="AT527" s="4"/>
      <c r="AU527" s="4"/>
      <c r="AV527" s="4"/>
    </row>
    <row r="528" spans="1:4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245"/>
      <c r="AQ528" s="4"/>
      <c r="AR528" s="4"/>
      <c r="AS528" s="4"/>
      <c r="AT528" s="4"/>
      <c r="AU528" s="4"/>
      <c r="AV528" s="4"/>
    </row>
    <row r="529" spans="1:48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245"/>
      <c r="AQ529" s="4"/>
      <c r="AR529" s="4"/>
      <c r="AS529" s="4"/>
      <c r="AT529" s="4"/>
      <c r="AU529" s="4"/>
      <c r="AV529" s="4"/>
    </row>
    <row r="530" spans="1:48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245"/>
      <c r="AQ530" s="4"/>
      <c r="AR530" s="4"/>
      <c r="AS530" s="4"/>
      <c r="AT530" s="4"/>
      <c r="AU530" s="4"/>
      <c r="AV530" s="4"/>
    </row>
    <row r="531" spans="1:48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245"/>
      <c r="AQ531" s="4"/>
      <c r="AR531" s="4"/>
      <c r="AS531" s="4"/>
      <c r="AT531" s="4"/>
      <c r="AU531" s="4"/>
      <c r="AV531" s="4"/>
    </row>
    <row r="532" spans="1:48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245"/>
      <c r="AQ532" s="4"/>
      <c r="AR532" s="4"/>
      <c r="AS532" s="4"/>
      <c r="AT532" s="4"/>
      <c r="AU532" s="4"/>
      <c r="AV532" s="4"/>
    </row>
    <row r="533" spans="1:48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245"/>
      <c r="AQ533" s="4"/>
      <c r="AR533" s="4"/>
      <c r="AS533" s="4"/>
      <c r="AT533" s="4"/>
      <c r="AU533" s="4"/>
      <c r="AV533" s="4"/>
    </row>
    <row r="534" spans="1:48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245"/>
      <c r="AQ534" s="4"/>
      <c r="AR534" s="4"/>
      <c r="AS534" s="4"/>
      <c r="AT534" s="4"/>
      <c r="AU534" s="4"/>
      <c r="AV534" s="4"/>
    </row>
    <row r="535" spans="1:48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245"/>
      <c r="AQ535" s="4"/>
      <c r="AR535" s="4"/>
      <c r="AS535" s="4"/>
      <c r="AT535" s="4"/>
      <c r="AU535" s="4"/>
      <c r="AV535" s="4"/>
    </row>
    <row r="536" spans="1:48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245"/>
      <c r="AQ536" s="4"/>
      <c r="AR536" s="4"/>
      <c r="AS536" s="4"/>
      <c r="AT536" s="4"/>
      <c r="AU536" s="4"/>
      <c r="AV536" s="4"/>
    </row>
    <row r="537" spans="1:48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245"/>
      <c r="AQ537" s="4"/>
      <c r="AR537" s="4"/>
      <c r="AS537" s="4"/>
      <c r="AT537" s="4"/>
      <c r="AU537" s="4"/>
      <c r="AV537" s="4"/>
    </row>
    <row r="538" spans="1:4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245"/>
      <c r="AQ538" s="4"/>
      <c r="AR538" s="4"/>
      <c r="AS538" s="4"/>
      <c r="AT538" s="4"/>
      <c r="AU538" s="4"/>
      <c r="AV538" s="4"/>
    </row>
    <row r="539" spans="1:48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245"/>
      <c r="AQ539" s="4"/>
      <c r="AR539" s="4"/>
      <c r="AS539" s="4"/>
      <c r="AT539" s="4"/>
      <c r="AU539" s="4"/>
      <c r="AV539" s="4"/>
    </row>
    <row r="540" spans="1:48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245"/>
      <c r="AQ540" s="4"/>
      <c r="AR540" s="4"/>
      <c r="AS540" s="4"/>
      <c r="AT540" s="4"/>
      <c r="AU540" s="4"/>
      <c r="AV540" s="4"/>
    </row>
    <row r="541" spans="1:48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245"/>
      <c r="AQ541" s="4"/>
      <c r="AR541" s="4"/>
      <c r="AS541" s="4"/>
      <c r="AT541" s="4"/>
      <c r="AU541" s="4"/>
      <c r="AV541" s="4"/>
    </row>
    <row r="542" spans="1:48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245"/>
      <c r="AQ542" s="4"/>
      <c r="AR542" s="4"/>
      <c r="AS542" s="4"/>
      <c r="AT542" s="4"/>
      <c r="AU542" s="4"/>
      <c r="AV542" s="4"/>
    </row>
    <row r="543" spans="1:48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245"/>
      <c r="AQ543" s="4"/>
      <c r="AR543" s="4"/>
      <c r="AS543" s="4"/>
      <c r="AT543" s="4"/>
      <c r="AU543" s="4"/>
      <c r="AV543" s="4"/>
    </row>
    <row r="544" spans="1:48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245"/>
      <c r="AQ544" s="4"/>
      <c r="AR544" s="4"/>
      <c r="AS544" s="4"/>
      <c r="AT544" s="4"/>
      <c r="AU544" s="4"/>
      <c r="AV544" s="4"/>
    </row>
    <row r="545" spans="1:48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245"/>
      <c r="AQ545" s="4"/>
      <c r="AR545" s="4"/>
      <c r="AS545" s="4"/>
      <c r="AT545" s="4"/>
      <c r="AU545" s="4"/>
      <c r="AV545" s="4"/>
    </row>
    <row r="546" spans="1:48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245"/>
      <c r="AQ546" s="4"/>
      <c r="AR546" s="4"/>
      <c r="AS546" s="4"/>
      <c r="AT546" s="4"/>
      <c r="AU546" s="4"/>
      <c r="AV546" s="4"/>
    </row>
    <row r="547" spans="1:48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245"/>
      <c r="AQ547" s="4"/>
      <c r="AR547" s="4"/>
      <c r="AS547" s="4"/>
      <c r="AT547" s="4"/>
      <c r="AU547" s="4"/>
      <c r="AV547" s="4"/>
    </row>
    <row r="548" spans="1: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245"/>
      <c r="AQ548" s="4"/>
      <c r="AR548" s="4"/>
      <c r="AS548" s="4"/>
      <c r="AT548" s="4"/>
      <c r="AU548" s="4"/>
      <c r="AV548" s="4"/>
    </row>
    <row r="549" spans="1:48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245"/>
      <c r="AQ549" s="4"/>
      <c r="AR549" s="4"/>
      <c r="AS549" s="4"/>
      <c r="AT549" s="4"/>
      <c r="AU549" s="4"/>
      <c r="AV549" s="4"/>
    </row>
    <row r="550" spans="1:48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245"/>
      <c r="AQ550" s="4"/>
      <c r="AR550" s="4"/>
      <c r="AS550" s="4"/>
      <c r="AT550" s="4"/>
      <c r="AU550" s="4"/>
      <c r="AV550" s="4"/>
    </row>
    <row r="551" spans="1:48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245"/>
      <c r="AQ551" s="4"/>
      <c r="AR551" s="4"/>
      <c r="AS551" s="4"/>
      <c r="AT551" s="4"/>
      <c r="AU551" s="4"/>
      <c r="AV551" s="4"/>
    </row>
    <row r="552" spans="1:48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245"/>
      <c r="AQ552" s="4"/>
      <c r="AR552" s="4"/>
      <c r="AS552" s="4"/>
      <c r="AT552" s="4"/>
      <c r="AU552" s="4"/>
      <c r="AV552" s="4"/>
    </row>
    <row r="553" spans="1:48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245"/>
      <c r="AQ553" s="4"/>
      <c r="AR553" s="4"/>
      <c r="AS553" s="4"/>
      <c r="AT553" s="4"/>
      <c r="AU553" s="4"/>
      <c r="AV553" s="4"/>
    </row>
    <row r="554" spans="1:48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245"/>
      <c r="AQ554" s="4"/>
      <c r="AR554" s="4"/>
      <c r="AS554" s="4"/>
      <c r="AT554" s="4"/>
      <c r="AU554" s="4"/>
      <c r="AV554" s="4"/>
    </row>
    <row r="555" spans="1:48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245"/>
      <c r="AQ555" s="4"/>
      <c r="AR555" s="4"/>
      <c r="AS555" s="4"/>
      <c r="AT555" s="4"/>
      <c r="AU555" s="4"/>
      <c r="AV555" s="4"/>
    </row>
    <row r="556" spans="1:48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245"/>
      <c r="AQ556" s="4"/>
      <c r="AR556" s="4"/>
      <c r="AS556" s="4"/>
      <c r="AT556" s="4"/>
      <c r="AU556" s="4"/>
      <c r="AV556" s="4"/>
    </row>
    <row r="557" spans="1:48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245"/>
      <c r="AQ557" s="4"/>
      <c r="AR557" s="4"/>
      <c r="AS557" s="4"/>
      <c r="AT557" s="4"/>
      <c r="AU557" s="4"/>
      <c r="AV557" s="4"/>
    </row>
    <row r="558" spans="1:4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245"/>
      <c r="AQ558" s="4"/>
      <c r="AR558" s="4"/>
      <c r="AS558" s="4"/>
      <c r="AT558" s="4"/>
      <c r="AU558" s="4"/>
      <c r="AV558" s="4"/>
    </row>
    <row r="559" spans="1:48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245"/>
      <c r="AQ559" s="4"/>
      <c r="AR559" s="4"/>
      <c r="AS559" s="4"/>
      <c r="AT559" s="4"/>
      <c r="AU559" s="4"/>
      <c r="AV559" s="4"/>
    </row>
    <row r="560" spans="1:48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245"/>
      <c r="AQ560" s="4"/>
      <c r="AR560" s="4"/>
      <c r="AS560" s="4"/>
      <c r="AT560" s="4"/>
      <c r="AU560" s="4"/>
      <c r="AV560" s="4"/>
    </row>
    <row r="561" spans="1:48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245"/>
      <c r="AQ561" s="4"/>
      <c r="AR561" s="4"/>
      <c r="AS561" s="4"/>
      <c r="AT561" s="4"/>
      <c r="AU561" s="4"/>
      <c r="AV561" s="4"/>
    </row>
    <row r="562" spans="1:48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245"/>
      <c r="AQ562" s="4"/>
      <c r="AR562" s="4"/>
      <c r="AS562" s="4"/>
      <c r="AT562" s="4"/>
      <c r="AU562" s="4"/>
      <c r="AV562" s="4"/>
    </row>
    <row r="563" spans="1:48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245"/>
      <c r="AQ563" s="4"/>
      <c r="AR563" s="4"/>
      <c r="AS563" s="4"/>
      <c r="AT563" s="4"/>
      <c r="AU563" s="4"/>
      <c r="AV563" s="4"/>
    </row>
    <row r="564" spans="1:48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245"/>
      <c r="AQ564" s="4"/>
      <c r="AR564" s="4"/>
      <c r="AS564" s="4"/>
      <c r="AT564" s="4"/>
      <c r="AU564" s="4"/>
      <c r="AV564" s="4"/>
    </row>
    <row r="565" spans="1:48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245"/>
      <c r="AQ565" s="4"/>
      <c r="AR565" s="4"/>
      <c r="AS565" s="4"/>
      <c r="AT565" s="4"/>
      <c r="AU565" s="4"/>
      <c r="AV565" s="4"/>
    </row>
    <row r="566" spans="1:48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245"/>
      <c r="AQ566" s="4"/>
      <c r="AR566" s="4"/>
      <c r="AS566" s="4"/>
      <c r="AT566" s="4"/>
      <c r="AU566" s="4"/>
      <c r="AV566" s="4"/>
    </row>
    <row r="567" spans="1:48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245"/>
      <c r="AQ567" s="4"/>
      <c r="AR567" s="4"/>
      <c r="AS567" s="4"/>
      <c r="AT567" s="4"/>
      <c r="AU567" s="4"/>
      <c r="AV567" s="4"/>
    </row>
    <row r="568" spans="1:4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245"/>
      <c r="AQ568" s="4"/>
      <c r="AR568" s="4"/>
      <c r="AS568" s="4"/>
      <c r="AT568" s="4"/>
      <c r="AU568" s="4"/>
      <c r="AV568" s="4"/>
    </row>
    <row r="569" spans="1:48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245"/>
      <c r="AQ569" s="4"/>
      <c r="AR569" s="4"/>
      <c r="AS569" s="4"/>
      <c r="AT569" s="4"/>
      <c r="AU569" s="4"/>
      <c r="AV569" s="4"/>
    </row>
    <row r="570" spans="1:48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245"/>
      <c r="AQ570" s="4"/>
      <c r="AR570" s="4"/>
      <c r="AS570" s="4"/>
      <c r="AT570" s="4"/>
      <c r="AU570" s="4"/>
      <c r="AV570" s="4"/>
    </row>
    <row r="571" spans="1:48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245"/>
      <c r="AQ571" s="4"/>
      <c r="AR571" s="4"/>
      <c r="AS571" s="4"/>
      <c r="AT571" s="4"/>
      <c r="AU571" s="4"/>
      <c r="AV571" s="4"/>
    </row>
    <row r="572" spans="1:48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245"/>
      <c r="AQ572" s="4"/>
      <c r="AR572" s="4"/>
      <c r="AS572" s="4"/>
      <c r="AT572" s="4"/>
      <c r="AU572" s="4"/>
      <c r="AV572" s="4"/>
    </row>
    <row r="573" spans="1:48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245"/>
      <c r="AQ573" s="4"/>
      <c r="AR573" s="4"/>
      <c r="AS573" s="4"/>
      <c r="AT573" s="4"/>
      <c r="AU573" s="4"/>
      <c r="AV573" s="4"/>
    </row>
    <row r="574" spans="1:48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245"/>
      <c r="AQ574" s="4"/>
      <c r="AR574" s="4"/>
      <c r="AS574" s="4"/>
      <c r="AT574" s="4"/>
      <c r="AU574" s="4"/>
      <c r="AV574" s="4"/>
    </row>
    <row r="575" spans="1:48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245"/>
      <c r="AQ575" s="4"/>
      <c r="AR575" s="4"/>
      <c r="AS575" s="4"/>
      <c r="AT575" s="4"/>
      <c r="AU575" s="4"/>
      <c r="AV575" s="4"/>
    </row>
    <row r="576" spans="1:48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245"/>
      <c r="AQ576" s="4"/>
      <c r="AR576" s="4"/>
      <c r="AS576" s="4"/>
      <c r="AT576" s="4"/>
      <c r="AU576" s="4"/>
      <c r="AV576" s="4"/>
    </row>
    <row r="577" spans="1:48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245"/>
      <c r="AQ577" s="4"/>
      <c r="AR577" s="4"/>
      <c r="AS577" s="4"/>
      <c r="AT577" s="4"/>
      <c r="AU577" s="4"/>
      <c r="AV577" s="4"/>
    </row>
    <row r="578" spans="1:4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245"/>
      <c r="AQ578" s="4"/>
      <c r="AR578" s="4"/>
      <c r="AS578" s="4"/>
      <c r="AT578" s="4"/>
      <c r="AU578" s="4"/>
      <c r="AV578" s="4"/>
    </row>
    <row r="579" spans="1:48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245"/>
      <c r="AQ579" s="4"/>
      <c r="AR579" s="4"/>
      <c r="AS579" s="4"/>
      <c r="AT579" s="4"/>
      <c r="AU579" s="4"/>
      <c r="AV579" s="4"/>
    </row>
    <row r="580" spans="1:48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245"/>
      <c r="AQ580" s="4"/>
      <c r="AR580" s="4"/>
      <c r="AS580" s="4"/>
      <c r="AT580" s="4"/>
      <c r="AU580" s="4"/>
      <c r="AV580" s="4"/>
    </row>
    <row r="581" spans="1:48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245"/>
      <c r="AQ581" s="4"/>
      <c r="AR581" s="4"/>
      <c r="AS581" s="4"/>
      <c r="AT581" s="4"/>
      <c r="AU581" s="4"/>
      <c r="AV581" s="4"/>
    </row>
    <row r="582" spans="1:48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245"/>
      <c r="AQ582" s="4"/>
      <c r="AR582" s="4"/>
      <c r="AS582" s="4"/>
      <c r="AT582" s="4"/>
      <c r="AU582" s="4"/>
      <c r="AV582" s="4"/>
    </row>
    <row r="583" spans="1:48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245"/>
      <c r="AQ583" s="4"/>
      <c r="AR583" s="4"/>
      <c r="AS583" s="4"/>
      <c r="AT583" s="4"/>
      <c r="AU583" s="4"/>
      <c r="AV583" s="4"/>
    </row>
    <row r="584" spans="1:48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245"/>
      <c r="AQ584" s="4"/>
      <c r="AR584" s="4"/>
      <c r="AS584" s="4"/>
      <c r="AT584" s="4"/>
      <c r="AU584" s="4"/>
      <c r="AV584" s="4"/>
    </row>
    <row r="585" spans="1:48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245"/>
      <c r="AQ585" s="4"/>
      <c r="AR585" s="4"/>
      <c r="AS585" s="4"/>
      <c r="AT585" s="4"/>
      <c r="AU585" s="4"/>
      <c r="AV585" s="4"/>
    </row>
    <row r="586" spans="1:48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245"/>
      <c r="AQ586" s="4"/>
      <c r="AR586" s="4"/>
      <c r="AS586" s="4"/>
      <c r="AT586" s="4"/>
      <c r="AU586" s="4"/>
      <c r="AV586" s="4"/>
    </row>
    <row r="587" spans="1:48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245"/>
      <c r="AQ587" s="4"/>
      <c r="AR587" s="4"/>
      <c r="AS587" s="4"/>
      <c r="AT587" s="4"/>
      <c r="AU587" s="4"/>
      <c r="AV587" s="4"/>
    </row>
    <row r="588" spans="1:4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245"/>
      <c r="AQ588" s="4"/>
      <c r="AR588" s="4"/>
      <c r="AS588" s="4"/>
      <c r="AT588" s="4"/>
      <c r="AU588" s="4"/>
      <c r="AV588" s="4"/>
    </row>
    <row r="589" spans="1:48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245"/>
      <c r="AQ589" s="4"/>
      <c r="AR589" s="4"/>
      <c r="AS589" s="4"/>
      <c r="AT589" s="4"/>
      <c r="AU589" s="4"/>
      <c r="AV589" s="4"/>
    </row>
    <row r="590" spans="1:48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245"/>
      <c r="AQ590" s="4"/>
      <c r="AR590" s="4"/>
      <c r="AS590" s="4"/>
      <c r="AT590" s="4"/>
      <c r="AU590" s="4"/>
      <c r="AV590" s="4"/>
    </row>
    <row r="591" spans="1:48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245"/>
      <c r="AQ591" s="4"/>
      <c r="AR591" s="4"/>
      <c r="AS591" s="4"/>
      <c r="AT591" s="4"/>
      <c r="AU591" s="4"/>
      <c r="AV591" s="4"/>
    </row>
    <row r="592" spans="1:48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245"/>
      <c r="AQ592" s="4"/>
      <c r="AR592" s="4"/>
      <c r="AS592" s="4"/>
      <c r="AT592" s="4"/>
      <c r="AU592" s="4"/>
      <c r="AV592" s="4"/>
    </row>
    <row r="593" spans="1:48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245"/>
      <c r="AQ593" s="4"/>
      <c r="AR593" s="4"/>
      <c r="AS593" s="4"/>
      <c r="AT593" s="4"/>
      <c r="AU593" s="4"/>
      <c r="AV593" s="4"/>
    </row>
    <row r="594" spans="1:48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245"/>
      <c r="AQ594" s="4"/>
      <c r="AR594" s="4"/>
      <c r="AS594" s="4"/>
      <c r="AT594" s="4"/>
      <c r="AU594" s="4"/>
      <c r="AV594" s="4"/>
    </row>
    <row r="595" spans="1:48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245"/>
      <c r="AQ595" s="4"/>
      <c r="AR595" s="4"/>
      <c r="AS595" s="4"/>
      <c r="AT595" s="4"/>
      <c r="AU595" s="4"/>
      <c r="AV595" s="4"/>
    </row>
    <row r="596" spans="1:48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245"/>
      <c r="AQ596" s="4"/>
      <c r="AR596" s="4"/>
      <c r="AS596" s="4"/>
      <c r="AT596" s="4"/>
      <c r="AU596" s="4"/>
      <c r="AV596" s="4"/>
    </row>
    <row r="597" spans="1:48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245"/>
      <c r="AQ597" s="4"/>
      <c r="AR597" s="4"/>
      <c r="AS597" s="4"/>
      <c r="AT597" s="4"/>
      <c r="AU597" s="4"/>
      <c r="AV597" s="4"/>
    </row>
    <row r="598" spans="1:4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245"/>
      <c r="AQ598" s="4"/>
      <c r="AR598" s="4"/>
      <c r="AS598" s="4"/>
      <c r="AT598" s="4"/>
      <c r="AU598" s="4"/>
      <c r="AV598" s="4"/>
    </row>
    <row r="599" spans="1:48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245"/>
      <c r="AQ599" s="4"/>
      <c r="AR599" s="4"/>
      <c r="AS599" s="4"/>
      <c r="AT599" s="4"/>
      <c r="AU599" s="4"/>
      <c r="AV599" s="4"/>
    </row>
    <row r="600" spans="1:48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245"/>
      <c r="AQ600" s="4"/>
      <c r="AR600" s="4"/>
      <c r="AS600" s="4"/>
      <c r="AT600" s="4"/>
      <c r="AU600" s="4"/>
      <c r="AV600" s="4"/>
    </row>
    <row r="601" spans="1:48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245"/>
      <c r="AQ601" s="4"/>
      <c r="AR601" s="4"/>
      <c r="AS601" s="4"/>
      <c r="AT601" s="4"/>
      <c r="AU601" s="4"/>
      <c r="AV601" s="4"/>
    </row>
    <row r="602" spans="1:48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245"/>
      <c r="AQ602" s="4"/>
      <c r="AR602" s="4"/>
      <c r="AS602" s="4"/>
      <c r="AT602" s="4"/>
      <c r="AU602" s="4"/>
      <c r="AV602" s="4"/>
    </row>
    <row r="603" spans="1:48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245"/>
      <c r="AQ603" s="4"/>
      <c r="AR603" s="4"/>
      <c r="AS603" s="4"/>
      <c r="AT603" s="4"/>
      <c r="AU603" s="4"/>
      <c r="AV603" s="4"/>
    </row>
    <row r="604" spans="1:48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245"/>
      <c r="AQ604" s="4"/>
      <c r="AR604" s="4"/>
      <c r="AS604" s="4"/>
      <c r="AT604" s="4"/>
      <c r="AU604" s="4"/>
      <c r="AV604" s="4"/>
    </row>
    <row r="605" spans="1:48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245"/>
      <c r="AQ605" s="4"/>
      <c r="AR605" s="4"/>
      <c r="AS605" s="4"/>
      <c r="AT605" s="4"/>
      <c r="AU605" s="4"/>
      <c r="AV605" s="4"/>
    </row>
    <row r="606" spans="1:48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245"/>
      <c r="AQ606" s="4"/>
      <c r="AR606" s="4"/>
      <c r="AS606" s="4"/>
      <c r="AT606" s="4"/>
      <c r="AU606" s="4"/>
      <c r="AV606" s="4"/>
    </row>
    <row r="607" spans="1:48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245"/>
      <c r="AQ607" s="4"/>
      <c r="AR607" s="4"/>
      <c r="AS607" s="4"/>
      <c r="AT607" s="4"/>
      <c r="AU607" s="4"/>
      <c r="AV607" s="4"/>
    </row>
    <row r="608" spans="1:4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245"/>
      <c r="AQ608" s="4"/>
      <c r="AR608" s="4"/>
      <c r="AS608" s="4"/>
      <c r="AT608" s="4"/>
      <c r="AU608" s="4"/>
      <c r="AV608" s="4"/>
    </row>
    <row r="609" spans="1:48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245"/>
      <c r="AQ609" s="4"/>
      <c r="AR609" s="4"/>
      <c r="AS609" s="4"/>
      <c r="AT609" s="4"/>
      <c r="AU609" s="4"/>
      <c r="AV609" s="4"/>
    </row>
    <row r="610" spans="1:48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245"/>
      <c r="AQ610" s="4"/>
      <c r="AR610" s="4"/>
      <c r="AS610" s="4"/>
      <c r="AT610" s="4"/>
      <c r="AU610" s="4"/>
      <c r="AV610" s="4"/>
    </row>
    <row r="611" spans="1:48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245"/>
      <c r="AQ611" s="4"/>
      <c r="AR611" s="4"/>
      <c r="AS611" s="4"/>
      <c r="AT611" s="4"/>
      <c r="AU611" s="4"/>
      <c r="AV611" s="4"/>
    </row>
    <row r="612" spans="1:48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245"/>
      <c r="AQ612" s="4"/>
      <c r="AR612" s="4"/>
      <c r="AS612" s="4"/>
      <c r="AT612" s="4"/>
      <c r="AU612" s="4"/>
      <c r="AV612" s="4"/>
    </row>
    <row r="613" spans="1:48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245"/>
      <c r="AQ613" s="4"/>
      <c r="AR613" s="4"/>
      <c r="AS613" s="4"/>
      <c r="AT613" s="4"/>
      <c r="AU613" s="4"/>
      <c r="AV613" s="4"/>
    </row>
    <row r="614" spans="1:48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245"/>
      <c r="AQ614" s="4"/>
      <c r="AR614" s="4"/>
      <c r="AS614" s="4"/>
      <c r="AT614" s="4"/>
      <c r="AU614" s="4"/>
      <c r="AV614" s="4"/>
    </row>
    <row r="615" spans="1:48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245"/>
      <c r="AQ615" s="4"/>
      <c r="AR615" s="4"/>
      <c r="AS615" s="4"/>
      <c r="AT615" s="4"/>
      <c r="AU615" s="4"/>
      <c r="AV615" s="4"/>
    </row>
    <row r="616" spans="1:48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245"/>
      <c r="AQ616" s="4"/>
      <c r="AR616" s="4"/>
      <c r="AS616" s="4"/>
      <c r="AT616" s="4"/>
      <c r="AU616" s="4"/>
      <c r="AV616" s="4"/>
    </row>
    <row r="617" spans="1:48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245"/>
      <c r="AQ617" s="4"/>
      <c r="AR617" s="4"/>
      <c r="AS617" s="4"/>
      <c r="AT617" s="4"/>
      <c r="AU617" s="4"/>
      <c r="AV617" s="4"/>
    </row>
    <row r="618" spans="1:4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245"/>
      <c r="AQ618" s="4"/>
      <c r="AR618" s="4"/>
      <c r="AS618" s="4"/>
      <c r="AT618" s="4"/>
      <c r="AU618" s="4"/>
      <c r="AV618" s="4"/>
    </row>
    <row r="619" spans="1:48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245"/>
      <c r="AQ619" s="4"/>
      <c r="AR619" s="4"/>
      <c r="AS619" s="4"/>
      <c r="AT619" s="4"/>
      <c r="AU619" s="4"/>
      <c r="AV619" s="4"/>
    </row>
    <row r="620" spans="1:48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245"/>
      <c r="AQ620" s="4"/>
      <c r="AR620" s="4"/>
      <c r="AS620" s="4"/>
      <c r="AT620" s="4"/>
      <c r="AU620" s="4"/>
      <c r="AV620" s="4"/>
    </row>
    <row r="621" spans="1:48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245"/>
      <c r="AQ621" s="4"/>
      <c r="AR621" s="4"/>
      <c r="AS621" s="4"/>
      <c r="AT621" s="4"/>
      <c r="AU621" s="4"/>
      <c r="AV621" s="4"/>
    </row>
    <row r="622" spans="1:48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245"/>
      <c r="AQ622" s="4"/>
      <c r="AR622" s="4"/>
      <c r="AS622" s="4"/>
      <c r="AT622" s="4"/>
      <c r="AU622" s="4"/>
      <c r="AV622" s="4"/>
    </row>
    <row r="623" spans="1:48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245"/>
      <c r="AQ623" s="4"/>
      <c r="AR623" s="4"/>
      <c r="AS623" s="4"/>
      <c r="AT623" s="4"/>
      <c r="AU623" s="4"/>
      <c r="AV623" s="4"/>
    </row>
    <row r="624" spans="1:48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245"/>
      <c r="AQ624" s="4"/>
      <c r="AR624" s="4"/>
      <c r="AS624" s="4"/>
      <c r="AT624" s="4"/>
      <c r="AU624" s="4"/>
      <c r="AV624" s="4"/>
    </row>
    <row r="625" spans="1:48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245"/>
      <c r="AQ625" s="4"/>
      <c r="AR625" s="4"/>
      <c r="AS625" s="4"/>
      <c r="AT625" s="4"/>
      <c r="AU625" s="4"/>
      <c r="AV625" s="4"/>
    </row>
    <row r="626" spans="1:48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245"/>
      <c r="AQ626" s="4"/>
      <c r="AR626" s="4"/>
      <c r="AS626" s="4"/>
      <c r="AT626" s="4"/>
      <c r="AU626" s="4"/>
      <c r="AV626" s="4"/>
    </row>
    <row r="627" spans="1:48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245"/>
      <c r="AQ627" s="4"/>
      <c r="AR627" s="4"/>
      <c r="AS627" s="4"/>
      <c r="AT627" s="4"/>
      <c r="AU627" s="4"/>
      <c r="AV627" s="4"/>
    </row>
    <row r="628" spans="1:4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245"/>
      <c r="AQ628" s="4"/>
      <c r="AR628" s="4"/>
      <c r="AS628" s="4"/>
      <c r="AT628" s="4"/>
      <c r="AU628" s="4"/>
      <c r="AV628" s="4"/>
    </row>
    <row r="629" spans="1:48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245"/>
      <c r="AQ629" s="4"/>
      <c r="AR629" s="4"/>
      <c r="AS629" s="4"/>
      <c r="AT629" s="4"/>
      <c r="AU629" s="4"/>
      <c r="AV629" s="4"/>
    </row>
    <row r="630" spans="1:48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245"/>
      <c r="AQ630" s="4"/>
      <c r="AR630" s="4"/>
      <c r="AS630" s="4"/>
      <c r="AT630" s="4"/>
      <c r="AU630" s="4"/>
      <c r="AV630" s="4"/>
    </row>
    <row r="631" spans="1:48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245"/>
      <c r="AQ631" s="4"/>
      <c r="AR631" s="4"/>
      <c r="AS631" s="4"/>
      <c r="AT631" s="4"/>
      <c r="AU631" s="4"/>
      <c r="AV631" s="4"/>
    </row>
    <row r="632" spans="1:48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245"/>
      <c r="AQ632" s="4"/>
      <c r="AR632" s="4"/>
      <c r="AS632" s="4"/>
      <c r="AT632" s="4"/>
      <c r="AU632" s="4"/>
      <c r="AV632" s="4"/>
    </row>
    <row r="633" spans="1:48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245"/>
      <c r="AQ633" s="4"/>
      <c r="AR633" s="4"/>
      <c r="AS633" s="4"/>
      <c r="AT633" s="4"/>
      <c r="AU633" s="4"/>
      <c r="AV633" s="4"/>
    </row>
    <row r="634" spans="1:48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245"/>
      <c r="AQ634" s="4"/>
      <c r="AR634" s="4"/>
      <c r="AS634" s="4"/>
      <c r="AT634" s="4"/>
      <c r="AU634" s="4"/>
      <c r="AV634" s="4"/>
    </row>
    <row r="635" spans="1:48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245"/>
      <c r="AQ635" s="4"/>
      <c r="AR635" s="4"/>
      <c r="AS635" s="4"/>
      <c r="AT635" s="4"/>
      <c r="AU635" s="4"/>
      <c r="AV635" s="4"/>
    </row>
    <row r="636" spans="1:48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245"/>
      <c r="AQ636" s="4"/>
      <c r="AR636" s="4"/>
      <c r="AS636" s="4"/>
      <c r="AT636" s="4"/>
      <c r="AU636" s="4"/>
      <c r="AV636" s="4"/>
    </row>
    <row r="637" spans="1:48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245"/>
      <c r="AQ637" s="4"/>
      <c r="AR637" s="4"/>
      <c r="AS637" s="4"/>
      <c r="AT637" s="4"/>
      <c r="AU637" s="4"/>
      <c r="AV637" s="4"/>
    </row>
    <row r="638" spans="1:4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245"/>
      <c r="AQ638" s="4"/>
      <c r="AR638" s="4"/>
      <c r="AS638" s="4"/>
      <c r="AT638" s="4"/>
      <c r="AU638" s="4"/>
      <c r="AV638" s="4"/>
    </row>
    <row r="639" spans="1:48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245"/>
      <c r="AQ639" s="4"/>
      <c r="AR639" s="4"/>
      <c r="AS639" s="4"/>
      <c r="AT639" s="4"/>
      <c r="AU639" s="4"/>
      <c r="AV639" s="4"/>
    </row>
    <row r="640" spans="1:48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245"/>
      <c r="AQ640" s="4"/>
      <c r="AR640" s="4"/>
      <c r="AS640" s="4"/>
      <c r="AT640" s="4"/>
      <c r="AU640" s="4"/>
      <c r="AV640" s="4"/>
    </row>
    <row r="641" spans="1:48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245"/>
      <c r="AQ641" s="4"/>
      <c r="AR641" s="4"/>
      <c r="AS641" s="4"/>
      <c r="AT641" s="4"/>
      <c r="AU641" s="4"/>
      <c r="AV641" s="4"/>
    </row>
    <row r="642" spans="1:48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245"/>
      <c r="AQ642" s="4"/>
      <c r="AR642" s="4"/>
      <c r="AS642" s="4"/>
      <c r="AT642" s="4"/>
      <c r="AU642" s="4"/>
      <c r="AV642" s="4"/>
    </row>
    <row r="643" spans="1:48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245"/>
      <c r="AQ643" s="4"/>
      <c r="AR643" s="4"/>
      <c r="AS643" s="4"/>
      <c r="AT643" s="4"/>
      <c r="AU643" s="4"/>
      <c r="AV643" s="4"/>
    </row>
    <row r="644" spans="1:48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245"/>
      <c r="AQ644" s="4"/>
      <c r="AR644" s="4"/>
      <c r="AS644" s="4"/>
      <c r="AT644" s="4"/>
      <c r="AU644" s="4"/>
      <c r="AV644" s="4"/>
    </row>
    <row r="645" spans="1:48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245"/>
      <c r="AQ645" s="4"/>
      <c r="AR645" s="4"/>
      <c r="AS645" s="4"/>
      <c r="AT645" s="4"/>
      <c r="AU645" s="4"/>
      <c r="AV645" s="4"/>
    </row>
    <row r="646" spans="1:48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245"/>
      <c r="AQ646" s="4"/>
      <c r="AR646" s="4"/>
      <c r="AS646" s="4"/>
      <c r="AT646" s="4"/>
      <c r="AU646" s="4"/>
      <c r="AV646" s="4"/>
    </row>
    <row r="647" spans="1:48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245"/>
      <c r="AQ647" s="4"/>
      <c r="AR647" s="4"/>
      <c r="AS647" s="4"/>
      <c r="AT647" s="4"/>
      <c r="AU647" s="4"/>
      <c r="AV647" s="4"/>
    </row>
    <row r="648" spans="1: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245"/>
      <c r="AQ648" s="4"/>
      <c r="AR648" s="4"/>
      <c r="AS648" s="4"/>
      <c r="AT648" s="4"/>
      <c r="AU648" s="4"/>
      <c r="AV648" s="4"/>
    </row>
    <row r="649" spans="1:48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245"/>
      <c r="AQ649" s="4"/>
      <c r="AR649" s="4"/>
      <c r="AS649" s="4"/>
      <c r="AT649" s="4"/>
      <c r="AU649" s="4"/>
      <c r="AV649" s="4"/>
    </row>
    <row r="650" spans="1:48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245"/>
      <c r="AQ650" s="4"/>
      <c r="AR650" s="4"/>
      <c r="AS650" s="4"/>
      <c r="AT650" s="4"/>
      <c r="AU650" s="4"/>
      <c r="AV650" s="4"/>
    </row>
    <row r="651" spans="1:48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245"/>
      <c r="AQ651" s="4"/>
      <c r="AR651" s="4"/>
      <c r="AS651" s="4"/>
      <c r="AT651" s="4"/>
      <c r="AU651" s="4"/>
      <c r="AV651" s="4"/>
    </row>
    <row r="652" spans="1:48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245"/>
      <c r="AQ652" s="4"/>
      <c r="AR652" s="4"/>
      <c r="AS652" s="4"/>
      <c r="AT652" s="4"/>
      <c r="AU652" s="4"/>
      <c r="AV652" s="4"/>
    </row>
    <row r="653" spans="1:48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245"/>
      <c r="AQ653" s="4"/>
      <c r="AR653" s="4"/>
      <c r="AS653" s="4"/>
      <c r="AT653" s="4"/>
      <c r="AU653" s="4"/>
      <c r="AV653" s="4"/>
    </row>
    <row r="654" spans="1:48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245"/>
      <c r="AQ654" s="4"/>
      <c r="AR654" s="4"/>
      <c r="AS654" s="4"/>
      <c r="AT654" s="4"/>
      <c r="AU654" s="4"/>
      <c r="AV654" s="4"/>
    </row>
    <row r="655" spans="1:48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245"/>
      <c r="AQ655" s="4"/>
      <c r="AR655" s="4"/>
      <c r="AS655" s="4"/>
      <c r="AT655" s="4"/>
      <c r="AU655" s="4"/>
      <c r="AV655" s="4"/>
    </row>
    <row r="656" spans="1:48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245"/>
      <c r="AQ656" s="4"/>
      <c r="AR656" s="4"/>
      <c r="AS656" s="4"/>
      <c r="AT656" s="4"/>
      <c r="AU656" s="4"/>
      <c r="AV656" s="4"/>
    </row>
    <row r="657" spans="1:48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245"/>
      <c r="AQ657" s="4"/>
      <c r="AR657" s="4"/>
      <c r="AS657" s="4"/>
      <c r="AT657" s="4"/>
      <c r="AU657" s="4"/>
      <c r="AV657" s="4"/>
    </row>
    <row r="658" spans="1:4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245"/>
      <c r="AQ658" s="4"/>
      <c r="AR658" s="4"/>
      <c r="AS658" s="4"/>
      <c r="AT658" s="4"/>
      <c r="AU658" s="4"/>
      <c r="AV658" s="4"/>
    </row>
    <row r="659" spans="1:48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245"/>
      <c r="AQ659" s="4"/>
      <c r="AR659" s="4"/>
      <c r="AS659" s="4"/>
      <c r="AT659" s="4"/>
      <c r="AU659" s="4"/>
      <c r="AV659" s="4"/>
    </row>
    <row r="660" spans="1:48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245"/>
      <c r="AQ660" s="4"/>
      <c r="AR660" s="4"/>
      <c r="AS660" s="4"/>
      <c r="AT660" s="4"/>
      <c r="AU660" s="4"/>
      <c r="AV660" s="4"/>
    </row>
    <row r="661" spans="1:48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245"/>
      <c r="AQ661" s="4"/>
      <c r="AR661" s="4"/>
      <c r="AS661" s="4"/>
      <c r="AT661" s="4"/>
      <c r="AU661" s="4"/>
      <c r="AV661" s="4"/>
    </row>
    <row r="662" spans="1:48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245"/>
      <c r="AQ662" s="4"/>
      <c r="AR662" s="4"/>
      <c r="AS662" s="4"/>
      <c r="AT662" s="4"/>
      <c r="AU662" s="4"/>
      <c r="AV662" s="4"/>
    </row>
    <row r="663" spans="1:48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245"/>
      <c r="AQ663" s="4"/>
      <c r="AR663" s="4"/>
      <c r="AS663" s="4"/>
      <c r="AT663" s="4"/>
      <c r="AU663" s="4"/>
      <c r="AV663" s="4"/>
    </row>
    <row r="664" spans="1:48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245"/>
      <c r="AQ664" s="4"/>
      <c r="AR664" s="4"/>
      <c r="AS664" s="4"/>
      <c r="AT664" s="4"/>
      <c r="AU664" s="4"/>
      <c r="AV664" s="4"/>
    </row>
    <row r="665" spans="1:48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245"/>
      <c r="AQ665" s="4"/>
      <c r="AR665" s="4"/>
      <c r="AS665" s="4"/>
      <c r="AT665" s="4"/>
      <c r="AU665" s="4"/>
      <c r="AV665" s="4"/>
    </row>
    <row r="666" spans="1:48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245"/>
      <c r="AQ666" s="4"/>
      <c r="AR666" s="4"/>
      <c r="AS666" s="4"/>
      <c r="AT666" s="4"/>
      <c r="AU666" s="4"/>
      <c r="AV666" s="4"/>
    </row>
    <row r="667" spans="1:48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245"/>
      <c r="AQ667" s="4"/>
      <c r="AR667" s="4"/>
      <c r="AS667" s="4"/>
      <c r="AT667" s="4"/>
      <c r="AU667" s="4"/>
      <c r="AV667" s="4"/>
    </row>
    <row r="668" spans="1:4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245"/>
      <c r="AQ668" s="4"/>
      <c r="AR668" s="4"/>
      <c r="AS668" s="4"/>
      <c r="AT668" s="4"/>
      <c r="AU668" s="4"/>
      <c r="AV668" s="4"/>
    </row>
    <row r="669" spans="1:48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245"/>
      <c r="AQ669" s="4"/>
      <c r="AR669" s="4"/>
      <c r="AS669" s="4"/>
      <c r="AT669" s="4"/>
      <c r="AU669" s="4"/>
      <c r="AV669" s="4"/>
    </row>
    <row r="670" spans="1:48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245"/>
      <c r="AQ670" s="4"/>
      <c r="AR670" s="4"/>
      <c r="AS670" s="4"/>
      <c r="AT670" s="4"/>
      <c r="AU670" s="4"/>
      <c r="AV670" s="4"/>
    </row>
    <row r="671" spans="1:48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245"/>
      <c r="AQ671" s="4"/>
      <c r="AR671" s="4"/>
      <c r="AS671" s="4"/>
      <c r="AT671" s="4"/>
      <c r="AU671" s="4"/>
      <c r="AV671" s="4"/>
    </row>
    <row r="672" spans="1:48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245"/>
      <c r="AQ672" s="4"/>
      <c r="AR672" s="4"/>
      <c r="AS672" s="4"/>
      <c r="AT672" s="4"/>
      <c r="AU672" s="4"/>
      <c r="AV672" s="4"/>
    </row>
    <row r="673" spans="1:48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245"/>
      <c r="AQ673" s="4"/>
      <c r="AR673" s="4"/>
      <c r="AS673" s="4"/>
      <c r="AT673" s="4"/>
      <c r="AU673" s="4"/>
      <c r="AV673" s="4"/>
    </row>
    <row r="674" spans="1:48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245"/>
      <c r="AQ674" s="4"/>
      <c r="AR674" s="4"/>
      <c r="AS674" s="4"/>
      <c r="AT674" s="4"/>
      <c r="AU674" s="4"/>
      <c r="AV674" s="4"/>
    </row>
    <row r="675" spans="1:48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245"/>
      <c r="AQ675" s="4"/>
      <c r="AR675" s="4"/>
      <c r="AS675" s="4"/>
      <c r="AT675" s="4"/>
      <c r="AU675" s="4"/>
      <c r="AV675" s="4"/>
    </row>
    <row r="676" spans="1:48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245"/>
      <c r="AQ676" s="4"/>
      <c r="AR676" s="4"/>
      <c r="AS676" s="4"/>
      <c r="AT676" s="4"/>
      <c r="AU676" s="4"/>
      <c r="AV676" s="4"/>
    </row>
    <row r="677" spans="1:48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245"/>
      <c r="AQ677" s="4"/>
      <c r="AR677" s="4"/>
      <c r="AS677" s="4"/>
      <c r="AT677" s="4"/>
      <c r="AU677" s="4"/>
      <c r="AV677" s="4"/>
    </row>
    <row r="678" spans="1:4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245"/>
      <c r="AQ678" s="4"/>
      <c r="AR678" s="4"/>
      <c r="AS678" s="4"/>
      <c r="AT678" s="4"/>
      <c r="AU678" s="4"/>
      <c r="AV678" s="4"/>
    </row>
    <row r="679" spans="1:48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245"/>
      <c r="AQ679" s="4"/>
      <c r="AR679" s="4"/>
      <c r="AS679" s="4"/>
      <c r="AT679" s="4"/>
      <c r="AU679" s="4"/>
      <c r="AV679" s="4"/>
    </row>
    <row r="680" spans="1:48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245"/>
      <c r="AQ680" s="4"/>
      <c r="AR680" s="4"/>
      <c r="AS680" s="4"/>
      <c r="AT680" s="4"/>
      <c r="AU680" s="4"/>
      <c r="AV680" s="4"/>
    </row>
    <row r="681" spans="1:48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245"/>
      <c r="AQ681" s="4"/>
      <c r="AR681" s="4"/>
      <c r="AS681" s="4"/>
      <c r="AT681" s="4"/>
      <c r="AU681" s="4"/>
      <c r="AV681" s="4"/>
    </row>
    <row r="682" spans="1:48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245"/>
      <c r="AQ682" s="4"/>
      <c r="AR682" s="4"/>
      <c r="AS682" s="4"/>
      <c r="AT682" s="4"/>
      <c r="AU682" s="4"/>
      <c r="AV682" s="4"/>
    </row>
    <row r="683" spans="1:48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245"/>
      <c r="AQ683" s="4"/>
      <c r="AR683" s="4"/>
      <c r="AS683" s="4"/>
      <c r="AT683" s="4"/>
      <c r="AU683" s="4"/>
      <c r="AV683" s="4"/>
    </row>
    <row r="684" spans="1:48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245"/>
      <c r="AQ684" s="4"/>
      <c r="AR684" s="4"/>
      <c r="AS684" s="4"/>
      <c r="AT684" s="4"/>
      <c r="AU684" s="4"/>
      <c r="AV684" s="4"/>
    </row>
    <row r="685" spans="1:48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245"/>
      <c r="AQ685" s="4"/>
      <c r="AR685" s="4"/>
      <c r="AS685" s="4"/>
      <c r="AT685" s="4"/>
      <c r="AU685" s="4"/>
      <c r="AV685" s="4"/>
    </row>
    <row r="686" spans="1:48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245"/>
      <c r="AQ686" s="4"/>
      <c r="AR686" s="4"/>
      <c r="AS686" s="4"/>
      <c r="AT686" s="4"/>
      <c r="AU686" s="4"/>
      <c r="AV686" s="4"/>
    </row>
    <row r="687" spans="1:48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245"/>
      <c r="AQ687" s="4"/>
      <c r="AR687" s="4"/>
      <c r="AS687" s="4"/>
      <c r="AT687" s="4"/>
      <c r="AU687" s="4"/>
      <c r="AV687" s="4"/>
    </row>
    <row r="688" spans="1:4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245"/>
      <c r="AQ688" s="4"/>
      <c r="AR688" s="4"/>
      <c r="AS688" s="4"/>
      <c r="AT688" s="4"/>
      <c r="AU688" s="4"/>
      <c r="AV688" s="4"/>
    </row>
    <row r="689" spans="1:48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245"/>
      <c r="AQ689" s="4"/>
      <c r="AR689" s="4"/>
      <c r="AS689" s="4"/>
      <c r="AT689" s="4"/>
      <c r="AU689" s="4"/>
      <c r="AV689" s="4"/>
    </row>
    <row r="690" spans="1:48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245"/>
      <c r="AQ690" s="4"/>
      <c r="AR690" s="4"/>
      <c r="AS690" s="4"/>
      <c r="AT690" s="4"/>
      <c r="AU690" s="4"/>
      <c r="AV690" s="4"/>
    </row>
    <row r="691" spans="1:48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245"/>
      <c r="AQ691" s="4"/>
      <c r="AR691" s="4"/>
      <c r="AS691" s="4"/>
      <c r="AT691" s="4"/>
      <c r="AU691" s="4"/>
      <c r="AV691" s="4"/>
    </row>
    <row r="692" spans="1:48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245"/>
      <c r="AQ692" s="4"/>
      <c r="AR692" s="4"/>
      <c r="AS692" s="4"/>
      <c r="AT692" s="4"/>
      <c r="AU692" s="4"/>
      <c r="AV692" s="4"/>
    </row>
    <row r="693" spans="1:48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245"/>
      <c r="AQ693" s="4"/>
      <c r="AR693" s="4"/>
      <c r="AS693" s="4"/>
      <c r="AT693" s="4"/>
      <c r="AU693" s="4"/>
      <c r="AV693" s="4"/>
    </row>
    <row r="694" spans="1:48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245"/>
      <c r="AQ694" s="4"/>
      <c r="AR694" s="4"/>
      <c r="AS694" s="4"/>
      <c r="AT694" s="4"/>
      <c r="AU694" s="4"/>
      <c r="AV694" s="4"/>
    </row>
    <row r="695" spans="1:48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245"/>
      <c r="AQ695" s="4"/>
      <c r="AR695" s="4"/>
      <c r="AS695" s="4"/>
      <c r="AT695" s="4"/>
      <c r="AU695" s="4"/>
      <c r="AV695" s="4"/>
    </row>
    <row r="696" spans="1:48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245"/>
      <c r="AQ696" s="4"/>
      <c r="AR696" s="4"/>
      <c r="AS696" s="4"/>
      <c r="AT696" s="4"/>
      <c r="AU696" s="4"/>
      <c r="AV696" s="4"/>
    </row>
    <row r="697" spans="1:48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245"/>
      <c r="AQ697" s="4"/>
      <c r="AR697" s="4"/>
      <c r="AS697" s="4"/>
      <c r="AT697" s="4"/>
      <c r="AU697" s="4"/>
      <c r="AV697" s="4"/>
    </row>
    <row r="698" spans="1:4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245"/>
      <c r="AQ698" s="4"/>
      <c r="AR698" s="4"/>
      <c r="AS698" s="4"/>
      <c r="AT698" s="4"/>
      <c r="AU698" s="4"/>
      <c r="AV698" s="4"/>
    </row>
    <row r="699" spans="1:48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245"/>
      <c r="AQ699" s="4"/>
      <c r="AR699" s="4"/>
      <c r="AS699" s="4"/>
      <c r="AT699" s="4"/>
      <c r="AU699" s="4"/>
      <c r="AV699" s="4"/>
    </row>
    <row r="700" spans="1:48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245"/>
      <c r="AQ700" s="4"/>
      <c r="AR700" s="4"/>
      <c r="AS700" s="4"/>
      <c r="AT700" s="4"/>
      <c r="AU700" s="4"/>
      <c r="AV700" s="4"/>
    </row>
    <row r="701" spans="1:48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245"/>
      <c r="AQ701" s="4"/>
      <c r="AR701" s="4"/>
      <c r="AS701" s="4"/>
      <c r="AT701" s="4"/>
      <c r="AU701" s="4"/>
      <c r="AV701" s="4"/>
    </row>
    <row r="702" spans="1:48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245"/>
      <c r="AQ702" s="4"/>
      <c r="AR702" s="4"/>
      <c r="AS702" s="4"/>
      <c r="AT702" s="4"/>
      <c r="AU702" s="4"/>
      <c r="AV702" s="4"/>
    </row>
    <row r="703" spans="1:48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245"/>
      <c r="AQ703" s="4"/>
      <c r="AR703" s="4"/>
      <c r="AS703" s="4"/>
      <c r="AT703" s="4"/>
      <c r="AU703" s="4"/>
      <c r="AV703" s="4"/>
    </row>
    <row r="704" spans="1:48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245"/>
      <c r="AQ704" s="4"/>
      <c r="AR704" s="4"/>
      <c r="AS704" s="4"/>
      <c r="AT704" s="4"/>
      <c r="AU704" s="4"/>
      <c r="AV704" s="4"/>
    </row>
    <row r="705" spans="1:48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245"/>
      <c r="AQ705" s="4"/>
      <c r="AR705" s="4"/>
      <c r="AS705" s="4"/>
      <c r="AT705" s="4"/>
      <c r="AU705" s="4"/>
      <c r="AV705" s="4"/>
    </row>
    <row r="706" spans="1:48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245"/>
      <c r="AQ706" s="4"/>
      <c r="AR706" s="4"/>
      <c r="AS706" s="4"/>
      <c r="AT706" s="4"/>
      <c r="AU706" s="4"/>
      <c r="AV706" s="4"/>
    </row>
    <row r="707" spans="1:48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245"/>
      <c r="AQ707" s="4"/>
      <c r="AR707" s="4"/>
      <c r="AS707" s="4"/>
      <c r="AT707" s="4"/>
      <c r="AU707" s="4"/>
      <c r="AV707" s="4"/>
    </row>
    <row r="708" spans="1:4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245"/>
      <c r="AQ708" s="4"/>
      <c r="AR708" s="4"/>
      <c r="AS708" s="4"/>
      <c r="AT708" s="4"/>
      <c r="AU708" s="4"/>
      <c r="AV708" s="4"/>
    </row>
    <row r="709" spans="1:48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245"/>
      <c r="AQ709" s="4"/>
      <c r="AR709" s="4"/>
      <c r="AS709" s="4"/>
      <c r="AT709" s="4"/>
      <c r="AU709" s="4"/>
      <c r="AV709" s="4"/>
    </row>
    <row r="710" spans="1:48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245"/>
      <c r="AQ710" s="4"/>
      <c r="AR710" s="4"/>
      <c r="AS710" s="4"/>
      <c r="AT710" s="4"/>
      <c r="AU710" s="4"/>
      <c r="AV710" s="4"/>
    </row>
    <row r="711" spans="1:48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245"/>
      <c r="AQ711" s="4"/>
      <c r="AR711" s="4"/>
      <c r="AS711" s="4"/>
      <c r="AT711" s="4"/>
      <c r="AU711" s="4"/>
      <c r="AV711" s="4"/>
    </row>
    <row r="712" spans="1:48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245"/>
      <c r="AQ712" s="4"/>
      <c r="AR712" s="4"/>
      <c r="AS712" s="4"/>
      <c r="AT712" s="4"/>
      <c r="AU712" s="4"/>
      <c r="AV712" s="4"/>
    </row>
    <row r="713" spans="1:48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245"/>
      <c r="AQ713" s="4"/>
      <c r="AR713" s="4"/>
      <c r="AS713" s="4"/>
      <c r="AT713" s="4"/>
      <c r="AU713" s="4"/>
      <c r="AV713" s="4"/>
    </row>
    <row r="714" spans="1:48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245"/>
      <c r="AQ714" s="4"/>
      <c r="AR714" s="4"/>
      <c r="AS714" s="4"/>
      <c r="AT714" s="4"/>
      <c r="AU714" s="4"/>
      <c r="AV714" s="4"/>
    </row>
    <row r="715" spans="1:48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245"/>
      <c r="AQ715" s="4"/>
      <c r="AR715" s="4"/>
      <c r="AS715" s="4"/>
      <c r="AT715" s="4"/>
      <c r="AU715" s="4"/>
      <c r="AV715" s="4"/>
    </row>
    <row r="716" spans="1:48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245"/>
      <c r="AQ716" s="4"/>
      <c r="AR716" s="4"/>
      <c r="AS716" s="4"/>
      <c r="AT716" s="4"/>
      <c r="AU716" s="4"/>
      <c r="AV716" s="4"/>
    </row>
    <row r="717" spans="1:48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245"/>
      <c r="AQ717" s="4"/>
      <c r="AR717" s="4"/>
      <c r="AS717" s="4"/>
      <c r="AT717" s="4"/>
      <c r="AU717" s="4"/>
      <c r="AV717" s="4"/>
    </row>
    <row r="718" spans="1:4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245"/>
      <c r="AQ718" s="4"/>
      <c r="AR718" s="4"/>
      <c r="AS718" s="4"/>
      <c r="AT718" s="4"/>
      <c r="AU718" s="4"/>
      <c r="AV718" s="4"/>
    </row>
    <row r="719" spans="1:48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245"/>
      <c r="AQ719" s="4"/>
      <c r="AR719" s="4"/>
      <c r="AS719" s="4"/>
      <c r="AT719" s="4"/>
      <c r="AU719" s="4"/>
      <c r="AV719" s="4"/>
    </row>
    <row r="720" spans="1:48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245"/>
      <c r="AQ720" s="4"/>
      <c r="AR720" s="4"/>
      <c r="AS720" s="4"/>
      <c r="AT720" s="4"/>
      <c r="AU720" s="4"/>
      <c r="AV720" s="4"/>
    </row>
    <row r="721" spans="1:48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245"/>
      <c r="AQ721" s="4"/>
      <c r="AR721" s="4"/>
      <c r="AS721" s="4"/>
      <c r="AT721" s="4"/>
      <c r="AU721" s="4"/>
      <c r="AV721" s="4"/>
    </row>
    <row r="722" spans="1:48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245"/>
      <c r="AQ722" s="4"/>
      <c r="AR722" s="4"/>
      <c r="AS722" s="4"/>
      <c r="AT722" s="4"/>
      <c r="AU722" s="4"/>
      <c r="AV722" s="4"/>
    </row>
    <row r="723" spans="1:48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245"/>
      <c r="AQ723" s="4"/>
      <c r="AR723" s="4"/>
      <c r="AS723" s="4"/>
      <c r="AT723" s="4"/>
      <c r="AU723" s="4"/>
      <c r="AV723" s="4"/>
    </row>
    <row r="724" spans="1:48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245"/>
      <c r="AQ724" s="4"/>
      <c r="AR724" s="4"/>
      <c r="AS724" s="4"/>
      <c r="AT724" s="4"/>
      <c r="AU724" s="4"/>
      <c r="AV724" s="4"/>
    </row>
    <row r="725" spans="1:48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245"/>
      <c r="AQ725" s="4"/>
      <c r="AR725" s="4"/>
      <c r="AS725" s="4"/>
      <c r="AT725" s="4"/>
      <c r="AU725" s="4"/>
      <c r="AV725" s="4"/>
    </row>
    <row r="726" spans="1:48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245"/>
      <c r="AQ726" s="4"/>
      <c r="AR726" s="4"/>
      <c r="AS726" s="4"/>
      <c r="AT726" s="4"/>
      <c r="AU726" s="4"/>
      <c r="AV726" s="4"/>
    </row>
    <row r="727" spans="1:48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245"/>
      <c r="AQ727" s="4"/>
      <c r="AR727" s="4"/>
      <c r="AS727" s="4"/>
      <c r="AT727" s="4"/>
      <c r="AU727" s="4"/>
      <c r="AV727" s="4"/>
    </row>
    <row r="728" spans="1:4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245"/>
      <c r="AQ728" s="4"/>
      <c r="AR728" s="4"/>
      <c r="AS728" s="4"/>
      <c r="AT728" s="4"/>
      <c r="AU728" s="4"/>
      <c r="AV728" s="4"/>
    </row>
    <row r="729" spans="1:48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245"/>
      <c r="AQ729" s="4"/>
      <c r="AR729" s="4"/>
      <c r="AS729" s="4"/>
      <c r="AT729" s="4"/>
      <c r="AU729" s="4"/>
      <c r="AV729" s="4"/>
    </row>
    <row r="730" spans="1:48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245"/>
      <c r="AQ730" s="4"/>
      <c r="AR730" s="4"/>
      <c r="AS730" s="4"/>
      <c r="AT730" s="4"/>
      <c r="AU730" s="4"/>
      <c r="AV730" s="4"/>
    </row>
    <row r="731" spans="1:48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245"/>
      <c r="AQ731" s="4"/>
      <c r="AR731" s="4"/>
      <c r="AS731" s="4"/>
      <c r="AT731" s="4"/>
      <c r="AU731" s="4"/>
      <c r="AV731" s="4"/>
    </row>
    <row r="732" spans="1:48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245"/>
      <c r="AQ732" s="4"/>
      <c r="AR732" s="4"/>
      <c r="AS732" s="4"/>
      <c r="AT732" s="4"/>
      <c r="AU732" s="4"/>
      <c r="AV732" s="4"/>
    </row>
    <row r="733" spans="1:48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245"/>
      <c r="AQ733" s="4"/>
      <c r="AR733" s="4"/>
      <c r="AS733" s="4"/>
      <c r="AT733" s="4"/>
      <c r="AU733" s="4"/>
      <c r="AV733" s="4"/>
    </row>
    <row r="734" spans="1:48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245"/>
      <c r="AQ734" s="4"/>
      <c r="AR734" s="4"/>
      <c r="AS734" s="4"/>
      <c r="AT734" s="4"/>
      <c r="AU734" s="4"/>
      <c r="AV734" s="4"/>
    </row>
    <row r="735" spans="1:48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245"/>
      <c r="AQ735" s="4"/>
      <c r="AR735" s="4"/>
      <c r="AS735" s="4"/>
      <c r="AT735" s="4"/>
      <c r="AU735" s="4"/>
      <c r="AV735" s="4"/>
    </row>
    <row r="736" spans="1:48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245"/>
      <c r="AQ736" s="4"/>
      <c r="AR736" s="4"/>
      <c r="AS736" s="4"/>
      <c r="AT736" s="4"/>
      <c r="AU736" s="4"/>
      <c r="AV736" s="4"/>
    </row>
    <row r="737" spans="1:48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245"/>
      <c r="AQ737" s="4"/>
      <c r="AR737" s="4"/>
      <c r="AS737" s="4"/>
      <c r="AT737" s="4"/>
      <c r="AU737" s="4"/>
      <c r="AV737" s="4"/>
    </row>
    <row r="738" spans="1:4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245"/>
      <c r="AQ738" s="4"/>
      <c r="AR738" s="4"/>
      <c r="AS738" s="4"/>
      <c r="AT738" s="4"/>
      <c r="AU738" s="4"/>
      <c r="AV738" s="4"/>
    </row>
    <row r="739" spans="1:48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245"/>
      <c r="AQ739" s="4"/>
      <c r="AR739" s="4"/>
      <c r="AS739" s="4"/>
      <c r="AT739" s="4"/>
      <c r="AU739" s="4"/>
      <c r="AV739" s="4"/>
    </row>
    <row r="740" spans="1:48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245"/>
      <c r="AQ740" s="4"/>
      <c r="AR740" s="4"/>
      <c r="AS740" s="4"/>
      <c r="AT740" s="4"/>
      <c r="AU740" s="4"/>
      <c r="AV740" s="4"/>
    </row>
    <row r="741" spans="1:48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245"/>
      <c r="AQ741" s="4"/>
      <c r="AR741" s="4"/>
      <c r="AS741" s="4"/>
      <c r="AT741" s="4"/>
      <c r="AU741" s="4"/>
      <c r="AV741" s="4"/>
    </row>
    <row r="742" spans="1:48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245"/>
      <c r="AQ742" s="4"/>
      <c r="AR742" s="4"/>
      <c r="AS742" s="4"/>
      <c r="AT742" s="4"/>
      <c r="AU742" s="4"/>
      <c r="AV742" s="4"/>
    </row>
    <row r="743" spans="1:48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245"/>
      <c r="AQ743" s="4"/>
      <c r="AR743" s="4"/>
      <c r="AS743" s="4"/>
      <c r="AT743" s="4"/>
      <c r="AU743" s="4"/>
      <c r="AV743" s="4"/>
    </row>
    <row r="744" spans="1:48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245"/>
      <c r="AQ744" s="4"/>
      <c r="AR744" s="4"/>
      <c r="AS744" s="4"/>
      <c r="AT744" s="4"/>
      <c r="AU744" s="4"/>
      <c r="AV744" s="4"/>
    </row>
    <row r="745" spans="1:48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245"/>
      <c r="AQ745" s="4"/>
      <c r="AR745" s="4"/>
      <c r="AS745" s="4"/>
      <c r="AT745" s="4"/>
      <c r="AU745" s="4"/>
      <c r="AV745" s="4"/>
    </row>
    <row r="746" spans="1:48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245"/>
      <c r="AQ746" s="4"/>
      <c r="AR746" s="4"/>
      <c r="AS746" s="4"/>
      <c r="AT746" s="4"/>
      <c r="AU746" s="4"/>
      <c r="AV746" s="4"/>
    </row>
    <row r="747" spans="1:48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245"/>
      <c r="AQ747" s="4"/>
      <c r="AR747" s="4"/>
      <c r="AS747" s="4"/>
      <c r="AT747" s="4"/>
      <c r="AU747" s="4"/>
      <c r="AV747" s="4"/>
    </row>
    <row r="748" spans="1: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245"/>
      <c r="AQ748" s="4"/>
      <c r="AR748" s="4"/>
      <c r="AS748" s="4"/>
      <c r="AT748" s="4"/>
      <c r="AU748" s="4"/>
      <c r="AV748" s="4"/>
    </row>
    <row r="749" spans="1:48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245"/>
      <c r="AQ749" s="4"/>
      <c r="AR749" s="4"/>
      <c r="AS749" s="4"/>
      <c r="AT749" s="4"/>
      <c r="AU749" s="4"/>
      <c r="AV749" s="4"/>
    </row>
    <row r="750" spans="1:48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245"/>
      <c r="AQ750" s="4"/>
      <c r="AR750" s="4"/>
      <c r="AS750" s="4"/>
      <c r="AT750" s="4"/>
      <c r="AU750" s="4"/>
      <c r="AV750" s="4"/>
    </row>
    <row r="751" spans="1:48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245"/>
      <c r="AQ751" s="4"/>
      <c r="AR751" s="4"/>
      <c r="AS751" s="4"/>
      <c r="AT751" s="4"/>
      <c r="AU751" s="4"/>
      <c r="AV751" s="4"/>
    </row>
    <row r="752" spans="1:48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245"/>
      <c r="AQ752" s="4"/>
      <c r="AR752" s="4"/>
      <c r="AS752" s="4"/>
      <c r="AT752" s="4"/>
      <c r="AU752" s="4"/>
      <c r="AV752" s="4"/>
    </row>
    <row r="753" spans="1:48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245"/>
      <c r="AQ753" s="4"/>
      <c r="AR753" s="4"/>
      <c r="AS753" s="4"/>
      <c r="AT753" s="4"/>
      <c r="AU753" s="4"/>
      <c r="AV753" s="4"/>
    </row>
    <row r="754" spans="1:48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245"/>
      <c r="AQ754" s="4"/>
      <c r="AR754" s="4"/>
      <c r="AS754" s="4"/>
      <c r="AT754" s="4"/>
      <c r="AU754" s="4"/>
      <c r="AV754" s="4"/>
    </row>
    <row r="755" spans="1:48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245"/>
      <c r="AQ755" s="4"/>
      <c r="AR755" s="4"/>
      <c r="AS755" s="4"/>
      <c r="AT755" s="4"/>
      <c r="AU755" s="4"/>
      <c r="AV755" s="4"/>
    </row>
    <row r="756" spans="1:48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245"/>
      <c r="AQ756" s="4"/>
      <c r="AR756" s="4"/>
      <c r="AS756" s="4"/>
      <c r="AT756" s="4"/>
      <c r="AU756" s="4"/>
      <c r="AV756" s="4"/>
    </row>
    <row r="757" spans="1:48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245"/>
      <c r="AQ757" s="4"/>
      <c r="AR757" s="4"/>
      <c r="AS757" s="4"/>
      <c r="AT757" s="4"/>
      <c r="AU757" s="4"/>
      <c r="AV757" s="4"/>
    </row>
    <row r="758" spans="1:4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245"/>
      <c r="AQ758" s="4"/>
      <c r="AR758" s="4"/>
      <c r="AS758" s="4"/>
      <c r="AT758" s="4"/>
      <c r="AU758" s="4"/>
      <c r="AV758" s="4"/>
    </row>
    <row r="759" spans="1:48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245"/>
      <c r="AQ759" s="4"/>
      <c r="AR759" s="4"/>
      <c r="AS759" s="4"/>
      <c r="AT759" s="4"/>
      <c r="AU759" s="4"/>
      <c r="AV759" s="4"/>
    </row>
    <row r="760" spans="1:48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245"/>
      <c r="AQ760" s="4"/>
      <c r="AR760" s="4"/>
      <c r="AS760" s="4"/>
      <c r="AT760" s="4"/>
      <c r="AU760" s="4"/>
      <c r="AV760" s="4"/>
    </row>
    <row r="761" spans="1:48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245"/>
      <c r="AQ761" s="4"/>
      <c r="AR761" s="4"/>
      <c r="AS761" s="4"/>
      <c r="AT761" s="4"/>
      <c r="AU761" s="4"/>
      <c r="AV761" s="4"/>
    </row>
    <row r="762" spans="1:48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245"/>
      <c r="AQ762" s="4"/>
      <c r="AR762" s="4"/>
      <c r="AS762" s="4"/>
      <c r="AT762" s="4"/>
      <c r="AU762" s="4"/>
      <c r="AV762" s="4"/>
    </row>
    <row r="763" spans="1:48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245"/>
      <c r="AQ763" s="4"/>
      <c r="AR763" s="4"/>
      <c r="AS763" s="4"/>
      <c r="AT763" s="4"/>
      <c r="AU763" s="4"/>
      <c r="AV763" s="4"/>
    </row>
    <row r="764" spans="1:48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245"/>
      <c r="AQ764" s="4"/>
      <c r="AR764" s="4"/>
      <c r="AS764" s="4"/>
      <c r="AT764" s="4"/>
      <c r="AU764" s="4"/>
      <c r="AV764" s="4"/>
    </row>
    <row r="765" spans="1:48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245"/>
      <c r="AQ765" s="4"/>
      <c r="AR765" s="4"/>
      <c r="AS765" s="4"/>
      <c r="AT765" s="4"/>
      <c r="AU765" s="4"/>
      <c r="AV765" s="4"/>
    </row>
    <row r="766" spans="1:48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245"/>
      <c r="AQ766" s="4"/>
      <c r="AR766" s="4"/>
      <c r="AS766" s="4"/>
      <c r="AT766" s="4"/>
      <c r="AU766" s="4"/>
      <c r="AV766" s="4"/>
    </row>
    <row r="767" spans="1:48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245"/>
      <c r="AQ767" s="4"/>
      <c r="AR767" s="4"/>
      <c r="AS767" s="4"/>
      <c r="AT767" s="4"/>
      <c r="AU767" s="4"/>
      <c r="AV767" s="4"/>
    </row>
    <row r="768" spans="1:4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245"/>
      <c r="AQ768" s="4"/>
      <c r="AR768" s="4"/>
      <c r="AS768" s="4"/>
      <c r="AT768" s="4"/>
      <c r="AU768" s="4"/>
      <c r="AV768" s="4"/>
    </row>
    <row r="769" spans="1:48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245"/>
      <c r="AQ769" s="4"/>
      <c r="AR769" s="4"/>
      <c r="AS769" s="4"/>
      <c r="AT769" s="4"/>
      <c r="AU769" s="4"/>
      <c r="AV769" s="4"/>
    </row>
    <row r="770" spans="1:48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245"/>
      <c r="AQ770" s="4"/>
      <c r="AR770" s="4"/>
      <c r="AS770" s="4"/>
      <c r="AT770" s="4"/>
      <c r="AU770" s="4"/>
      <c r="AV770" s="4"/>
    </row>
    <row r="771" spans="1:48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245"/>
      <c r="AQ771" s="4"/>
      <c r="AR771" s="4"/>
      <c r="AS771" s="4"/>
      <c r="AT771" s="4"/>
      <c r="AU771" s="4"/>
      <c r="AV771" s="4"/>
    </row>
    <row r="772" spans="1:48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245"/>
      <c r="AQ772" s="4"/>
      <c r="AR772" s="4"/>
      <c r="AS772" s="4"/>
      <c r="AT772" s="4"/>
      <c r="AU772" s="4"/>
      <c r="AV772" s="4"/>
    </row>
    <row r="773" spans="1:48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245"/>
      <c r="AQ773" s="4"/>
      <c r="AR773" s="4"/>
      <c r="AS773" s="4"/>
      <c r="AT773" s="4"/>
      <c r="AU773" s="4"/>
      <c r="AV773" s="4"/>
    </row>
    <row r="774" spans="1:48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245"/>
      <c r="AQ774" s="4"/>
      <c r="AR774" s="4"/>
      <c r="AS774" s="4"/>
      <c r="AT774" s="4"/>
      <c r="AU774" s="4"/>
      <c r="AV774" s="4"/>
    </row>
    <row r="775" spans="1:48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245"/>
      <c r="AQ775" s="4"/>
      <c r="AR775" s="4"/>
      <c r="AS775" s="4"/>
      <c r="AT775" s="4"/>
      <c r="AU775" s="4"/>
      <c r="AV775" s="4"/>
    </row>
    <row r="776" spans="1:48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245"/>
      <c r="AQ776" s="4"/>
      <c r="AR776" s="4"/>
      <c r="AS776" s="4"/>
      <c r="AT776" s="4"/>
      <c r="AU776" s="4"/>
      <c r="AV776" s="4"/>
    </row>
    <row r="777" spans="1:48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245"/>
      <c r="AQ777" s="4"/>
      <c r="AR777" s="4"/>
      <c r="AS777" s="4"/>
      <c r="AT777" s="4"/>
      <c r="AU777" s="4"/>
      <c r="AV777" s="4"/>
    </row>
    <row r="778" spans="1:4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245"/>
      <c r="AQ778" s="4"/>
      <c r="AR778" s="4"/>
      <c r="AS778" s="4"/>
      <c r="AT778" s="4"/>
      <c r="AU778" s="4"/>
      <c r="AV778" s="4"/>
    </row>
    <row r="779" spans="1:48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245"/>
      <c r="AQ779" s="4"/>
      <c r="AR779" s="4"/>
      <c r="AS779" s="4"/>
      <c r="AT779" s="4"/>
      <c r="AU779" s="4"/>
      <c r="AV779" s="4"/>
    </row>
    <row r="780" spans="1:48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245"/>
      <c r="AQ780" s="4"/>
      <c r="AR780" s="4"/>
      <c r="AS780" s="4"/>
      <c r="AT780" s="4"/>
      <c r="AU780" s="4"/>
      <c r="AV780" s="4"/>
    </row>
    <row r="781" spans="1:48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245"/>
      <c r="AQ781" s="4"/>
      <c r="AR781" s="4"/>
      <c r="AS781" s="4"/>
      <c r="AT781" s="4"/>
      <c r="AU781" s="4"/>
      <c r="AV781" s="4"/>
    </row>
    <row r="782" spans="1:48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245"/>
      <c r="AQ782" s="4"/>
      <c r="AR782" s="4"/>
      <c r="AS782" s="4"/>
      <c r="AT782" s="4"/>
      <c r="AU782" s="4"/>
      <c r="AV782" s="4"/>
    </row>
    <row r="783" spans="1:48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245"/>
      <c r="AQ783" s="4"/>
      <c r="AR783" s="4"/>
      <c r="AS783" s="4"/>
      <c r="AT783" s="4"/>
      <c r="AU783" s="4"/>
      <c r="AV783" s="4"/>
    </row>
    <row r="784" spans="1:48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245"/>
      <c r="AQ784" s="4"/>
      <c r="AR784" s="4"/>
      <c r="AS784" s="4"/>
      <c r="AT784" s="4"/>
      <c r="AU784" s="4"/>
      <c r="AV784" s="4"/>
    </row>
    <row r="785" spans="1:48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245"/>
      <c r="AQ785" s="4"/>
      <c r="AR785" s="4"/>
      <c r="AS785" s="4"/>
      <c r="AT785" s="4"/>
      <c r="AU785" s="4"/>
      <c r="AV785" s="4"/>
    </row>
    <row r="786" spans="1:48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245"/>
      <c r="AQ786" s="4"/>
      <c r="AR786" s="4"/>
      <c r="AS786" s="4"/>
      <c r="AT786" s="4"/>
      <c r="AU786" s="4"/>
      <c r="AV786" s="4"/>
    </row>
    <row r="787" spans="1:48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245"/>
      <c r="AQ787" s="4"/>
      <c r="AR787" s="4"/>
      <c r="AS787" s="4"/>
      <c r="AT787" s="4"/>
      <c r="AU787" s="4"/>
      <c r="AV787" s="4"/>
    </row>
    <row r="788" spans="1:4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245"/>
      <c r="AQ788" s="4"/>
      <c r="AR788" s="4"/>
      <c r="AS788" s="4"/>
      <c r="AT788" s="4"/>
      <c r="AU788" s="4"/>
      <c r="AV788" s="4"/>
    </row>
    <row r="789" spans="1:48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245"/>
      <c r="AQ789" s="4"/>
      <c r="AR789" s="4"/>
      <c r="AS789" s="4"/>
      <c r="AT789" s="4"/>
      <c r="AU789" s="4"/>
      <c r="AV789" s="4"/>
    </row>
    <row r="790" spans="1:48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245"/>
      <c r="AQ790" s="4"/>
      <c r="AR790" s="4"/>
      <c r="AS790" s="4"/>
      <c r="AT790" s="4"/>
      <c r="AU790" s="4"/>
      <c r="AV790" s="4"/>
    </row>
    <row r="791" spans="1:48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245"/>
      <c r="AQ791" s="4"/>
      <c r="AR791" s="4"/>
      <c r="AS791" s="4"/>
      <c r="AT791" s="4"/>
      <c r="AU791" s="4"/>
      <c r="AV791" s="4"/>
    </row>
    <row r="792" spans="1:48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245"/>
      <c r="AQ792" s="4"/>
      <c r="AR792" s="4"/>
      <c r="AS792" s="4"/>
      <c r="AT792" s="4"/>
      <c r="AU792" s="4"/>
      <c r="AV792" s="4"/>
    </row>
    <row r="793" spans="1:48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245"/>
      <c r="AQ793" s="4"/>
      <c r="AR793" s="4"/>
      <c r="AS793" s="4"/>
      <c r="AT793" s="4"/>
      <c r="AU793" s="4"/>
      <c r="AV793" s="4"/>
    </row>
    <row r="794" spans="1:48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245"/>
      <c r="AQ794" s="4"/>
      <c r="AR794" s="4"/>
      <c r="AS794" s="4"/>
      <c r="AT794" s="4"/>
      <c r="AU794" s="4"/>
      <c r="AV794" s="4"/>
    </row>
    <row r="795" spans="1:48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245"/>
      <c r="AQ795" s="4"/>
      <c r="AR795" s="4"/>
      <c r="AS795" s="4"/>
      <c r="AT795" s="4"/>
      <c r="AU795" s="4"/>
      <c r="AV795" s="4"/>
    </row>
    <row r="796" spans="1:48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245"/>
      <c r="AQ796" s="4"/>
      <c r="AR796" s="4"/>
      <c r="AS796" s="4"/>
      <c r="AT796" s="4"/>
      <c r="AU796" s="4"/>
      <c r="AV796" s="4"/>
    </row>
    <row r="797" spans="1:48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245"/>
      <c r="AQ797" s="4"/>
      <c r="AR797" s="4"/>
      <c r="AS797" s="4"/>
      <c r="AT797" s="4"/>
      <c r="AU797" s="4"/>
      <c r="AV797" s="4"/>
    </row>
    <row r="798" spans="1:4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245"/>
      <c r="AQ798" s="4"/>
      <c r="AR798" s="4"/>
      <c r="AS798" s="4"/>
      <c r="AT798" s="4"/>
      <c r="AU798" s="4"/>
      <c r="AV798" s="4"/>
    </row>
    <row r="799" spans="1:48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245"/>
      <c r="AQ799" s="4"/>
      <c r="AR799" s="4"/>
      <c r="AS799" s="4"/>
      <c r="AT799" s="4"/>
      <c r="AU799" s="4"/>
      <c r="AV799" s="4"/>
    </row>
    <row r="800" spans="1:48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245"/>
      <c r="AQ800" s="4"/>
      <c r="AR800" s="4"/>
      <c r="AS800" s="4"/>
      <c r="AT800" s="4"/>
      <c r="AU800" s="4"/>
      <c r="AV800" s="4"/>
    </row>
    <row r="801" spans="1:48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245"/>
      <c r="AQ801" s="4"/>
      <c r="AR801" s="4"/>
      <c r="AS801" s="4"/>
      <c r="AT801" s="4"/>
      <c r="AU801" s="4"/>
      <c r="AV801" s="4"/>
    </row>
    <row r="802" spans="1:48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245"/>
      <c r="AQ802" s="4"/>
      <c r="AR802" s="4"/>
      <c r="AS802" s="4"/>
      <c r="AT802" s="4"/>
      <c r="AU802" s="4"/>
      <c r="AV802" s="4"/>
    </row>
    <row r="803" spans="1:48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245"/>
      <c r="AQ803" s="4"/>
      <c r="AR803" s="4"/>
      <c r="AS803" s="4"/>
      <c r="AT803" s="4"/>
      <c r="AU803" s="4"/>
      <c r="AV803" s="4"/>
    </row>
    <row r="804" spans="1:48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245"/>
      <c r="AQ804" s="4"/>
      <c r="AR804" s="4"/>
      <c r="AS804" s="4"/>
      <c r="AT804" s="4"/>
      <c r="AU804" s="4"/>
      <c r="AV804" s="4"/>
    </row>
    <row r="805" spans="1:48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245"/>
      <c r="AQ805" s="4"/>
      <c r="AR805" s="4"/>
      <c r="AS805" s="4"/>
      <c r="AT805" s="4"/>
      <c r="AU805" s="4"/>
      <c r="AV805" s="4"/>
    </row>
    <row r="806" spans="1:48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245"/>
      <c r="AQ806" s="4"/>
      <c r="AR806" s="4"/>
      <c r="AS806" s="4"/>
      <c r="AT806" s="4"/>
      <c r="AU806" s="4"/>
      <c r="AV806" s="4"/>
    </row>
    <row r="807" spans="1:48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245"/>
      <c r="AQ807" s="4"/>
      <c r="AR807" s="4"/>
      <c r="AS807" s="4"/>
      <c r="AT807" s="4"/>
      <c r="AU807" s="4"/>
      <c r="AV807" s="4"/>
    </row>
    <row r="808" spans="1:4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245"/>
      <c r="AQ808" s="4"/>
      <c r="AR808" s="4"/>
      <c r="AS808" s="4"/>
      <c r="AT808" s="4"/>
      <c r="AU808" s="4"/>
      <c r="AV808" s="4"/>
    </row>
    <row r="809" spans="1:48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245"/>
      <c r="AQ809" s="4"/>
      <c r="AR809" s="4"/>
      <c r="AS809" s="4"/>
      <c r="AT809" s="4"/>
      <c r="AU809" s="4"/>
      <c r="AV809" s="4"/>
    </row>
    <row r="810" spans="1:48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245"/>
      <c r="AQ810" s="4"/>
      <c r="AR810" s="4"/>
      <c r="AS810" s="4"/>
      <c r="AT810" s="4"/>
      <c r="AU810" s="4"/>
      <c r="AV810" s="4"/>
    </row>
    <row r="811" spans="1:48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245"/>
      <c r="AQ811" s="4"/>
      <c r="AR811" s="4"/>
      <c r="AS811" s="4"/>
      <c r="AT811" s="4"/>
      <c r="AU811" s="4"/>
      <c r="AV811" s="4"/>
    </row>
    <row r="812" spans="1:48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245"/>
      <c r="AQ812" s="4"/>
      <c r="AR812" s="4"/>
      <c r="AS812" s="4"/>
      <c r="AT812" s="4"/>
      <c r="AU812" s="4"/>
      <c r="AV812" s="4"/>
    </row>
    <row r="813" spans="1:48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245"/>
      <c r="AQ813" s="4"/>
      <c r="AR813" s="4"/>
      <c r="AS813" s="4"/>
      <c r="AT813" s="4"/>
      <c r="AU813" s="4"/>
      <c r="AV813" s="4"/>
    </row>
    <row r="814" spans="1:48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245"/>
      <c r="AQ814" s="4"/>
      <c r="AR814" s="4"/>
      <c r="AS814" s="4"/>
      <c r="AT814" s="4"/>
      <c r="AU814" s="4"/>
      <c r="AV814" s="4"/>
    </row>
    <row r="815" spans="1:48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245"/>
      <c r="AQ815" s="4"/>
      <c r="AR815" s="4"/>
      <c r="AS815" s="4"/>
      <c r="AT815" s="4"/>
      <c r="AU815" s="4"/>
      <c r="AV815" s="4"/>
    </row>
    <row r="816" spans="1:48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245"/>
      <c r="AQ816" s="4"/>
      <c r="AR816" s="4"/>
      <c r="AS816" s="4"/>
      <c r="AT816" s="4"/>
      <c r="AU816" s="4"/>
      <c r="AV816" s="4"/>
    </row>
    <row r="817" spans="1:48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245"/>
      <c r="AQ817" s="4"/>
      <c r="AR817" s="4"/>
      <c r="AS817" s="4"/>
      <c r="AT817" s="4"/>
      <c r="AU817" s="4"/>
      <c r="AV817" s="4"/>
    </row>
    <row r="818" spans="1:4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245"/>
      <c r="AQ818" s="4"/>
      <c r="AR818" s="4"/>
      <c r="AS818" s="4"/>
      <c r="AT818" s="4"/>
      <c r="AU818" s="4"/>
      <c r="AV818" s="4"/>
    </row>
    <row r="819" spans="1:48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245"/>
      <c r="AQ819" s="4"/>
      <c r="AR819" s="4"/>
      <c r="AS819" s="4"/>
      <c r="AT819" s="4"/>
      <c r="AU819" s="4"/>
      <c r="AV819" s="4"/>
    </row>
    <row r="820" spans="1:48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245"/>
      <c r="AQ820" s="4"/>
      <c r="AR820" s="4"/>
      <c r="AS820" s="4"/>
      <c r="AT820" s="4"/>
      <c r="AU820" s="4"/>
      <c r="AV820" s="4"/>
    </row>
    <row r="821" spans="1:48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245"/>
      <c r="AQ821" s="4"/>
      <c r="AR821" s="4"/>
      <c r="AS821" s="4"/>
      <c r="AT821" s="4"/>
      <c r="AU821" s="4"/>
      <c r="AV821" s="4"/>
    </row>
    <row r="822" spans="1:48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245"/>
      <c r="AQ822" s="4"/>
      <c r="AR822" s="4"/>
      <c r="AS822" s="4"/>
      <c r="AT822" s="4"/>
      <c r="AU822" s="4"/>
      <c r="AV822" s="4"/>
    </row>
    <row r="823" spans="1:48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245"/>
      <c r="AQ823" s="4"/>
      <c r="AR823" s="4"/>
      <c r="AS823" s="4"/>
      <c r="AT823" s="4"/>
      <c r="AU823" s="4"/>
      <c r="AV823" s="4"/>
    </row>
    <row r="824" spans="1:48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245"/>
      <c r="AQ824" s="4"/>
      <c r="AR824" s="4"/>
      <c r="AS824" s="4"/>
      <c r="AT824" s="4"/>
      <c r="AU824" s="4"/>
      <c r="AV824" s="4"/>
    </row>
    <row r="825" spans="1:48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245"/>
      <c r="AQ825" s="4"/>
      <c r="AR825" s="4"/>
      <c r="AS825" s="4"/>
      <c r="AT825" s="4"/>
      <c r="AU825" s="4"/>
      <c r="AV825" s="4"/>
    </row>
    <row r="826" spans="1:48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245"/>
      <c r="AQ826" s="4"/>
      <c r="AR826" s="4"/>
      <c r="AS826" s="4"/>
      <c r="AT826" s="4"/>
      <c r="AU826" s="4"/>
      <c r="AV826" s="4"/>
    </row>
    <row r="827" spans="1:48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245"/>
      <c r="AQ827" s="4"/>
      <c r="AR827" s="4"/>
      <c r="AS827" s="4"/>
      <c r="AT827" s="4"/>
      <c r="AU827" s="4"/>
      <c r="AV827" s="4"/>
    </row>
    <row r="828" spans="1:4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245"/>
      <c r="AQ828" s="4"/>
      <c r="AR828" s="4"/>
      <c r="AS828" s="4"/>
      <c r="AT828" s="4"/>
      <c r="AU828" s="4"/>
      <c r="AV828" s="4"/>
    </row>
    <row r="829" spans="1:48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245"/>
      <c r="AQ829" s="4"/>
      <c r="AR829" s="4"/>
      <c r="AS829" s="4"/>
      <c r="AT829" s="4"/>
      <c r="AU829" s="4"/>
      <c r="AV829" s="4"/>
    </row>
    <row r="830" spans="1:48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245"/>
      <c r="AQ830" s="4"/>
      <c r="AR830" s="4"/>
      <c r="AS830" s="4"/>
      <c r="AT830" s="4"/>
      <c r="AU830" s="4"/>
      <c r="AV830" s="4"/>
    </row>
    <row r="831" spans="1:48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245"/>
      <c r="AQ831" s="4"/>
      <c r="AR831" s="4"/>
      <c r="AS831" s="4"/>
      <c r="AT831" s="4"/>
      <c r="AU831" s="4"/>
      <c r="AV831" s="4"/>
    </row>
    <row r="832" spans="1:48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245"/>
      <c r="AQ832" s="4"/>
      <c r="AR832" s="4"/>
      <c r="AS832" s="4"/>
      <c r="AT832" s="4"/>
      <c r="AU832" s="4"/>
      <c r="AV832" s="4"/>
    </row>
    <row r="833" spans="1:48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245"/>
      <c r="AQ833" s="4"/>
      <c r="AR833" s="4"/>
      <c r="AS833" s="4"/>
      <c r="AT833" s="4"/>
      <c r="AU833" s="4"/>
      <c r="AV833" s="4"/>
    </row>
    <row r="834" spans="1:48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245"/>
      <c r="AQ834" s="4"/>
      <c r="AR834" s="4"/>
      <c r="AS834" s="4"/>
      <c r="AT834" s="4"/>
      <c r="AU834" s="4"/>
      <c r="AV834" s="4"/>
    </row>
    <row r="835" spans="1:48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245"/>
      <c r="AQ835" s="4"/>
      <c r="AR835" s="4"/>
      <c r="AS835" s="4"/>
      <c r="AT835" s="4"/>
      <c r="AU835" s="4"/>
      <c r="AV835" s="4"/>
    </row>
    <row r="836" spans="1:48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245"/>
      <c r="AQ836" s="4"/>
      <c r="AR836" s="4"/>
      <c r="AS836" s="4"/>
      <c r="AT836" s="4"/>
      <c r="AU836" s="4"/>
      <c r="AV836" s="4"/>
    </row>
    <row r="837" spans="1:48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245"/>
      <c r="AQ837" s="4"/>
      <c r="AR837" s="4"/>
      <c r="AS837" s="4"/>
      <c r="AT837" s="4"/>
      <c r="AU837" s="4"/>
      <c r="AV837" s="4"/>
    </row>
    <row r="838" spans="1:4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245"/>
      <c r="AQ838" s="4"/>
      <c r="AR838" s="4"/>
      <c r="AS838" s="4"/>
      <c r="AT838" s="4"/>
      <c r="AU838" s="4"/>
      <c r="AV838" s="4"/>
    </row>
    <row r="839" spans="1:48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245"/>
      <c r="AQ839" s="4"/>
      <c r="AR839" s="4"/>
      <c r="AS839" s="4"/>
      <c r="AT839" s="4"/>
      <c r="AU839" s="4"/>
      <c r="AV839" s="4"/>
    </row>
    <row r="840" spans="1:48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245"/>
      <c r="AQ840" s="4"/>
      <c r="AR840" s="4"/>
      <c r="AS840" s="4"/>
      <c r="AT840" s="4"/>
      <c r="AU840" s="4"/>
      <c r="AV840" s="4"/>
    </row>
    <row r="841" spans="1:48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245"/>
      <c r="AQ841" s="4"/>
      <c r="AR841" s="4"/>
      <c r="AS841" s="4"/>
      <c r="AT841" s="4"/>
      <c r="AU841" s="4"/>
      <c r="AV841" s="4"/>
    </row>
    <row r="842" spans="1:48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245"/>
      <c r="AQ842" s="4"/>
      <c r="AR842" s="4"/>
      <c r="AS842" s="4"/>
      <c r="AT842" s="4"/>
      <c r="AU842" s="4"/>
      <c r="AV842" s="4"/>
    </row>
    <row r="843" spans="1:48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245"/>
      <c r="AQ843" s="4"/>
      <c r="AR843" s="4"/>
      <c r="AS843" s="4"/>
      <c r="AT843" s="4"/>
      <c r="AU843" s="4"/>
      <c r="AV843" s="4"/>
    </row>
    <row r="844" spans="1:48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245"/>
      <c r="AQ844" s="4"/>
      <c r="AR844" s="4"/>
      <c r="AS844" s="4"/>
      <c r="AT844" s="4"/>
      <c r="AU844" s="4"/>
      <c r="AV844" s="4"/>
    </row>
    <row r="845" spans="1:48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245"/>
      <c r="AQ845" s="4"/>
      <c r="AR845" s="4"/>
      <c r="AS845" s="4"/>
      <c r="AT845" s="4"/>
      <c r="AU845" s="4"/>
      <c r="AV845" s="4"/>
    </row>
    <row r="846" spans="1:48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245"/>
      <c r="AQ846" s="4"/>
      <c r="AR846" s="4"/>
      <c r="AS846" s="4"/>
      <c r="AT846" s="4"/>
      <c r="AU846" s="4"/>
      <c r="AV846" s="4"/>
    </row>
    <row r="847" spans="1:48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245"/>
      <c r="AQ847" s="4"/>
      <c r="AR847" s="4"/>
      <c r="AS847" s="4"/>
      <c r="AT847" s="4"/>
      <c r="AU847" s="4"/>
      <c r="AV847" s="4"/>
    </row>
    <row r="848" spans="1: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245"/>
      <c r="AQ848" s="4"/>
      <c r="AR848" s="4"/>
      <c r="AS848" s="4"/>
      <c r="AT848" s="4"/>
      <c r="AU848" s="4"/>
      <c r="AV848" s="4"/>
    </row>
    <row r="849" spans="1:48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245"/>
      <c r="AQ849" s="4"/>
      <c r="AR849" s="4"/>
      <c r="AS849" s="4"/>
      <c r="AT849" s="4"/>
      <c r="AU849" s="4"/>
      <c r="AV849" s="4"/>
    </row>
    <row r="850" spans="1:48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245"/>
      <c r="AQ850" s="4"/>
      <c r="AR850" s="4"/>
      <c r="AS850" s="4"/>
      <c r="AT850" s="4"/>
      <c r="AU850" s="4"/>
      <c r="AV850" s="4"/>
    </row>
    <row r="851" spans="1:48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245"/>
      <c r="AQ851" s="4"/>
      <c r="AR851" s="4"/>
      <c r="AS851" s="4"/>
      <c r="AT851" s="4"/>
      <c r="AU851" s="4"/>
      <c r="AV851" s="4"/>
    </row>
    <row r="852" spans="1:48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245"/>
      <c r="AQ852" s="4"/>
      <c r="AR852" s="4"/>
      <c r="AS852" s="4"/>
      <c r="AT852" s="4"/>
      <c r="AU852" s="4"/>
      <c r="AV852" s="4"/>
    </row>
    <row r="853" spans="1:48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245"/>
      <c r="AQ853" s="4"/>
      <c r="AR853" s="4"/>
      <c r="AS853" s="4"/>
      <c r="AT853" s="4"/>
      <c r="AU853" s="4"/>
      <c r="AV853" s="4"/>
    </row>
    <row r="854" spans="1:48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245"/>
      <c r="AQ854" s="4"/>
      <c r="AR854" s="4"/>
      <c r="AS854" s="4"/>
      <c r="AT854" s="4"/>
      <c r="AU854" s="4"/>
      <c r="AV854" s="4"/>
    </row>
    <row r="855" spans="1:48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245"/>
      <c r="AQ855" s="4"/>
      <c r="AR855" s="4"/>
      <c r="AS855" s="4"/>
      <c r="AT855" s="4"/>
      <c r="AU855" s="4"/>
      <c r="AV855" s="4"/>
    </row>
    <row r="856" spans="1:48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245"/>
      <c r="AQ856" s="4"/>
      <c r="AR856" s="4"/>
      <c r="AS856" s="4"/>
      <c r="AT856" s="4"/>
      <c r="AU856" s="4"/>
      <c r="AV856" s="4"/>
    </row>
    <row r="857" spans="1:48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245"/>
      <c r="AQ857" s="4"/>
      <c r="AR857" s="4"/>
      <c r="AS857" s="4"/>
      <c r="AT857" s="4"/>
      <c r="AU857" s="4"/>
      <c r="AV857" s="4"/>
    </row>
    <row r="858" spans="1:4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245"/>
      <c r="AQ858" s="4"/>
      <c r="AR858" s="4"/>
      <c r="AS858" s="4"/>
      <c r="AT858" s="4"/>
      <c r="AU858" s="4"/>
      <c r="AV858" s="4"/>
    </row>
    <row r="859" spans="1:48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245"/>
      <c r="AQ859" s="4"/>
      <c r="AR859" s="4"/>
      <c r="AS859" s="4"/>
      <c r="AT859" s="4"/>
      <c r="AU859" s="4"/>
      <c r="AV859" s="4"/>
    </row>
    <row r="860" spans="1:48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245"/>
      <c r="AQ860" s="4"/>
      <c r="AR860" s="4"/>
      <c r="AS860" s="4"/>
      <c r="AT860" s="4"/>
      <c r="AU860" s="4"/>
      <c r="AV860" s="4"/>
    </row>
    <row r="861" spans="1:48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245"/>
      <c r="AQ861" s="4"/>
      <c r="AR861" s="4"/>
      <c r="AS861" s="4"/>
      <c r="AT861" s="4"/>
      <c r="AU861" s="4"/>
      <c r="AV861" s="4"/>
    </row>
    <row r="862" spans="1:48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245"/>
      <c r="AQ862" s="4"/>
      <c r="AR862" s="4"/>
      <c r="AS862" s="4"/>
      <c r="AT862" s="4"/>
      <c r="AU862" s="4"/>
      <c r="AV862" s="4"/>
    </row>
    <row r="863" spans="1:48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245"/>
      <c r="AQ863" s="4"/>
      <c r="AR863" s="4"/>
      <c r="AS863" s="4"/>
      <c r="AT863" s="4"/>
      <c r="AU863" s="4"/>
      <c r="AV863" s="4"/>
    </row>
    <row r="864" spans="1:48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245"/>
      <c r="AQ864" s="4"/>
      <c r="AR864" s="4"/>
      <c r="AS864" s="4"/>
      <c r="AT864" s="4"/>
      <c r="AU864" s="4"/>
      <c r="AV864" s="4"/>
    </row>
    <row r="865" spans="1:48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245"/>
      <c r="AQ865" s="4"/>
      <c r="AR865" s="4"/>
      <c r="AS865" s="4"/>
      <c r="AT865" s="4"/>
      <c r="AU865" s="4"/>
      <c r="AV865" s="4"/>
    </row>
    <row r="866" spans="1:48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245"/>
      <c r="AQ866" s="4"/>
      <c r="AR866" s="4"/>
      <c r="AS866" s="4"/>
      <c r="AT866" s="4"/>
      <c r="AU866" s="4"/>
      <c r="AV866" s="4"/>
    </row>
    <row r="867" spans="1:48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245"/>
      <c r="AQ867" s="4"/>
      <c r="AR867" s="4"/>
      <c r="AS867" s="4"/>
      <c r="AT867" s="4"/>
      <c r="AU867" s="4"/>
      <c r="AV867" s="4"/>
    </row>
    <row r="868" spans="1:4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245"/>
      <c r="AQ868" s="4"/>
      <c r="AR868" s="4"/>
      <c r="AS868" s="4"/>
      <c r="AT868" s="4"/>
      <c r="AU868" s="4"/>
      <c r="AV868" s="4"/>
    </row>
    <row r="869" spans="1:48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245"/>
      <c r="AQ869" s="4"/>
      <c r="AR869" s="4"/>
      <c r="AS869" s="4"/>
      <c r="AT869" s="4"/>
      <c r="AU869" s="4"/>
      <c r="AV869" s="4"/>
    </row>
    <row r="870" spans="1:48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245"/>
      <c r="AQ870" s="4"/>
      <c r="AR870" s="4"/>
      <c r="AS870" s="4"/>
      <c r="AT870" s="4"/>
      <c r="AU870" s="4"/>
      <c r="AV870" s="4"/>
    </row>
    <row r="871" spans="1:48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245"/>
      <c r="AQ871" s="4"/>
      <c r="AR871" s="4"/>
      <c r="AS871" s="4"/>
      <c r="AT871" s="4"/>
      <c r="AU871" s="4"/>
      <c r="AV871" s="4"/>
    </row>
    <row r="872" spans="1:48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245"/>
      <c r="AQ872" s="4"/>
      <c r="AR872" s="4"/>
      <c r="AS872" s="4"/>
      <c r="AT872" s="4"/>
      <c r="AU872" s="4"/>
      <c r="AV872" s="4"/>
    </row>
    <row r="873" spans="1:48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245"/>
      <c r="AQ873" s="4"/>
      <c r="AR873" s="4"/>
      <c r="AS873" s="4"/>
      <c r="AT873" s="4"/>
      <c r="AU873" s="4"/>
      <c r="AV873" s="4"/>
    </row>
    <row r="874" spans="1:48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245"/>
      <c r="AQ874" s="4"/>
      <c r="AR874" s="4"/>
      <c r="AS874" s="4"/>
      <c r="AT874" s="4"/>
      <c r="AU874" s="4"/>
      <c r="AV874" s="4"/>
    </row>
    <row r="875" spans="1:48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245"/>
      <c r="AQ875" s="4"/>
      <c r="AR875" s="4"/>
      <c r="AS875" s="4"/>
      <c r="AT875" s="4"/>
      <c r="AU875" s="4"/>
      <c r="AV875" s="4"/>
    </row>
    <row r="876" spans="1:48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245"/>
      <c r="AQ876" s="4"/>
      <c r="AR876" s="4"/>
      <c r="AS876" s="4"/>
      <c r="AT876" s="4"/>
      <c r="AU876" s="4"/>
      <c r="AV876" s="4"/>
    </row>
    <row r="877" spans="1:48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245"/>
      <c r="AQ877" s="4"/>
      <c r="AR877" s="4"/>
      <c r="AS877" s="4"/>
      <c r="AT877" s="4"/>
      <c r="AU877" s="4"/>
      <c r="AV877" s="4"/>
    </row>
    <row r="878" spans="1:4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245"/>
      <c r="AQ878" s="4"/>
      <c r="AR878" s="4"/>
      <c r="AS878" s="4"/>
      <c r="AT878" s="4"/>
      <c r="AU878" s="4"/>
      <c r="AV878" s="4"/>
    </row>
    <row r="879" spans="1:48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245"/>
      <c r="AQ879" s="4"/>
      <c r="AR879" s="4"/>
      <c r="AS879" s="4"/>
      <c r="AT879" s="4"/>
      <c r="AU879" s="4"/>
      <c r="AV879" s="4"/>
    </row>
    <row r="880" spans="1:48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245"/>
      <c r="AQ880" s="4"/>
      <c r="AR880" s="4"/>
      <c r="AS880" s="4"/>
      <c r="AT880" s="4"/>
      <c r="AU880" s="4"/>
      <c r="AV880" s="4"/>
    </row>
    <row r="881" spans="1:48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245"/>
      <c r="AQ881" s="4"/>
      <c r="AR881" s="4"/>
      <c r="AS881" s="4"/>
      <c r="AT881" s="4"/>
      <c r="AU881" s="4"/>
      <c r="AV881" s="4"/>
    </row>
    <row r="882" spans="1:48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245"/>
      <c r="AQ882" s="4"/>
      <c r="AR882" s="4"/>
      <c r="AS882" s="4"/>
      <c r="AT882" s="4"/>
      <c r="AU882" s="4"/>
      <c r="AV882" s="4"/>
    </row>
    <row r="883" spans="1:48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245"/>
      <c r="AQ883" s="4"/>
      <c r="AR883" s="4"/>
      <c r="AS883" s="4"/>
      <c r="AT883" s="4"/>
      <c r="AU883" s="4"/>
      <c r="AV883" s="4"/>
    </row>
    <row r="884" spans="1:48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245"/>
      <c r="AQ884" s="4"/>
      <c r="AR884" s="4"/>
      <c r="AS884" s="4"/>
      <c r="AT884" s="4"/>
      <c r="AU884" s="4"/>
      <c r="AV884" s="4"/>
    </row>
    <row r="885" spans="1:48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245"/>
      <c r="AQ885" s="4"/>
      <c r="AR885" s="4"/>
      <c r="AS885" s="4"/>
      <c r="AT885" s="4"/>
      <c r="AU885" s="4"/>
      <c r="AV885" s="4"/>
    </row>
    <row r="886" spans="1:48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245"/>
      <c r="AQ886" s="4"/>
      <c r="AR886" s="4"/>
      <c r="AS886" s="4"/>
      <c r="AT886" s="4"/>
      <c r="AU886" s="4"/>
      <c r="AV886" s="4"/>
    </row>
    <row r="887" spans="1:48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245"/>
      <c r="AQ887" s="4"/>
      <c r="AR887" s="4"/>
      <c r="AS887" s="4"/>
      <c r="AT887" s="4"/>
      <c r="AU887" s="4"/>
      <c r="AV887" s="4"/>
    </row>
    <row r="888" spans="1:4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245"/>
      <c r="AQ888" s="4"/>
      <c r="AR888" s="4"/>
      <c r="AS888" s="4"/>
      <c r="AT888" s="4"/>
      <c r="AU888" s="4"/>
      <c r="AV888" s="4"/>
    </row>
    <row r="889" spans="1:48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245"/>
      <c r="AQ889" s="4"/>
      <c r="AR889" s="4"/>
      <c r="AS889" s="4"/>
      <c r="AT889" s="4"/>
      <c r="AU889" s="4"/>
      <c r="AV889" s="4"/>
    </row>
    <row r="890" spans="1:48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245"/>
      <c r="AQ890" s="4"/>
      <c r="AR890" s="4"/>
      <c r="AS890" s="4"/>
      <c r="AT890" s="4"/>
      <c r="AU890" s="4"/>
      <c r="AV890" s="4"/>
    </row>
    <row r="891" spans="1:48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245"/>
      <c r="AQ891" s="4"/>
      <c r="AR891" s="4"/>
      <c r="AS891" s="4"/>
      <c r="AT891" s="4"/>
      <c r="AU891" s="4"/>
      <c r="AV891" s="4"/>
    </row>
    <row r="892" spans="1:48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245"/>
      <c r="AQ892" s="4"/>
      <c r="AR892" s="4"/>
      <c r="AS892" s="4"/>
      <c r="AT892" s="4"/>
      <c r="AU892" s="4"/>
      <c r="AV892" s="4"/>
    </row>
    <row r="893" spans="1:48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245"/>
      <c r="AQ893" s="4"/>
      <c r="AR893" s="4"/>
      <c r="AS893" s="4"/>
      <c r="AT893" s="4"/>
      <c r="AU893" s="4"/>
      <c r="AV893" s="4"/>
    </row>
    <row r="894" spans="1:48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245"/>
      <c r="AQ894" s="4"/>
      <c r="AR894" s="4"/>
      <c r="AS894" s="4"/>
      <c r="AT894" s="4"/>
      <c r="AU894" s="4"/>
      <c r="AV894" s="4"/>
    </row>
    <row r="895" spans="1:48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245"/>
      <c r="AQ895" s="4"/>
      <c r="AR895" s="4"/>
      <c r="AS895" s="4"/>
      <c r="AT895" s="4"/>
      <c r="AU895" s="4"/>
      <c r="AV895" s="4"/>
    </row>
    <row r="896" spans="1:48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245"/>
      <c r="AQ896" s="4"/>
      <c r="AR896" s="4"/>
      <c r="AS896" s="4"/>
      <c r="AT896" s="4"/>
      <c r="AU896" s="4"/>
      <c r="AV896" s="4"/>
    </row>
    <row r="897" spans="1:48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245"/>
      <c r="AQ897" s="4"/>
      <c r="AR897" s="4"/>
      <c r="AS897" s="4"/>
      <c r="AT897" s="4"/>
      <c r="AU897" s="4"/>
      <c r="AV897" s="4"/>
    </row>
    <row r="898" spans="1:4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245"/>
      <c r="AQ898" s="4"/>
      <c r="AR898" s="4"/>
      <c r="AS898" s="4"/>
      <c r="AT898" s="4"/>
      <c r="AU898" s="4"/>
      <c r="AV898" s="4"/>
    </row>
    <row r="899" spans="1:48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245"/>
      <c r="AQ899" s="4"/>
      <c r="AR899" s="4"/>
      <c r="AS899" s="4"/>
      <c r="AT899" s="4"/>
      <c r="AU899" s="4"/>
      <c r="AV899" s="4"/>
    </row>
    <row r="900" spans="1:48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245"/>
      <c r="AQ900" s="4"/>
      <c r="AR900" s="4"/>
      <c r="AS900" s="4"/>
      <c r="AT900" s="4"/>
      <c r="AU900" s="4"/>
      <c r="AV900" s="4"/>
    </row>
    <row r="901" spans="1:48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245"/>
      <c r="AQ901" s="4"/>
      <c r="AR901" s="4"/>
      <c r="AS901" s="4"/>
      <c r="AT901" s="4"/>
      <c r="AU901" s="4"/>
      <c r="AV901" s="4"/>
    </row>
    <row r="902" spans="1:48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245"/>
      <c r="AQ902" s="4"/>
      <c r="AR902" s="4"/>
      <c r="AS902" s="4"/>
      <c r="AT902" s="4"/>
      <c r="AU902" s="4"/>
      <c r="AV902" s="4"/>
    </row>
    <row r="903" spans="1:48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245"/>
      <c r="AQ903" s="4"/>
      <c r="AR903" s="4"/>
      <c r="AS903" s="4"/>
      <c r="AT903" s="4"/>
      <c r="AU903" s="4"/>
      <c r="AV903" s="4"/>
    </row>
    <row r="904" spans="1:48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245"/>
      <c r="AQ904" s="4"/>
      <c r="AR904" s="4"/>
      <c r="AS904" s="4"/>
      <c r="AT904" s="4"/>
      <c r="AU904" s="4"/>
      <c r="AV904" s="4"/>
    </row>
    <row r="905" spans="1:48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245"/>
      <c r="AQ905" s="4"/>
      <c r="AR905" s="4"/>
      <c r="AS905" s="4"/>
      <c r="AT905" s="4"/>
      <c r="AU905" s="4"/>
      <c r="AV905" s="4"/>
    </row>
    <row r="906" spans="1:48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245"/>
      <c r="AQ906" s="4"/>
      <c r="AR906" s="4"/>
      <c r="AS906" s="4"/>
      <c r="AT906" s="4"/>
      <c r="AU906" s="4"/>
      <c r="AV906" s="4"/>
    </row>
    <row r="907" spans="1:48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245"/>
      <c r="AQ907" s="4"/>
      <c r="AR907" s="4"/>
      <c r="AS907" s="4"/>
      <c r="AT907" s="4"/>
      <c r="AU907" s="4"/>
      <c r="AV907" s="4"/>
    </row>
    <row r="908" spans="1:4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245"/>
      <c r="AQ908" s="4"/>
      <c r="AR908" s="4"/>
      <c r="AS908" s="4"/>
      <c r="AT908" s="4"/>
      <c r="AU908" s="4"/>
      <c r="AV908" s="4"/>
    </row>
    <row r="909" spans="1:48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245"/>
      <c r="AQ909" s="4"/>
      <c r="AR909" s="4"/>
      <c r="AS909" s="4"/>
      <c r="AT909" s="4"/>
      <c r="AU909" s="4"/>
      <c r="AV909" s="4"/>
    </row>
    <row r="910" spans="1:48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245"/>
      <c r="AQ910" s="4"/>
      <c r="AR910" s="4"/>
      <c r="AS910" s="4"/>
      <c r="AT910" s="4"/>
      <c r="AU910" s="4"/>
      <c r="AV910" s="4"/>
    </row>
    <row r="911" spans="1:48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245"/>
      <c r="AQ911" s="4"/>
      <c r="AR911" s="4"/>
      <c r="AS911" s="4"/>
      <c r="AT911" s="4"/>
      <c r="AU911" s="4"/>
      <c r="AV911" s="4"/>
    </row>
    <row r="912" spans="1:48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245"/>
      <c r="AQ912" s="4"/>
      <c r="AR912" s="4"/>
      <c r="AS912" s="4"/>
      <c r="AT912" s="4"/>
      <c r="AU912" s="4"/>
      <c r="AV912" s="4"/>
    </row>
    <row r="913" spans="1:48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245"/>
      <c r="AQ913" s="4"/>
      <c r="AR913" s="4"/>
      <c r="AS913" s="4"/>
      <c r="AT913" s="4"/>
      <c r="AU913" s="4"/>
      <c r="AV913" s="4"/>
    </row>
    <row r="914" spans="1:48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245"/>
      <c r="AQ914" s="4"/>
      <c r="AR914" s="4"/>
      <c r="AS914" s="4"/>
      <c r="AT914" s="4"/>
      <c r="AU914" s="4"/>
      <c r="AV914" s="4"/>
    </row>
    <row r="915" spans="1:48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245"/>
      <c r="AQ915" s="4"/>
      <c r="AR915" s="4"/>
      <c r="AS915" s="4"/>
      <c r="AT915" s="4"/>
      <c r="AU915" s="4"/>
      <c r="AV915" s="4"/>
    </row>
    <row r="916" spans="1:48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245"/>
      <c r="AQ916" s="4"/>
      <c r="AR916" s="4"/>
      <c r="AS916" s="4"/>
      <c r="AT916" s="4"/>
      <c r="AU916" s="4"/>
      <c r="AV916" s="4"/>
    </row>
    <row r="917" spans="1:48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245"/>
      <c r="AQ917" s="4"/>
      <c r="AR917" s="4"/>
      <c r="AS917" s="4"/>
      <c r="AT917" s="4"/>
      <c r="AU917" s="4"/>
      <c r="AV917" s="4"/>
    </row>
    <row r="918" spans="1:4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245"/>
      <c r="AQ918" s="4"/>
      <c r="AR918" s="4"/>
      <c r="AS918" s="4"/>
      <c r="AT918" s="4"/>
      <c r="AU918" s="4"/>
      <c r="AV918" s="4"/>
    </row>
    <row r="919" spans="1:48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245"/>
      <c r="AQ919" s="4"/>
      <c r="AR919" s="4"/>
      <c r="AS919" s="4"/>
      <c r="AT919" s="4"/>
      <c r="AU919" s="4"/>
      <c r="AV919" s="4"/>
    </row>
    <row r="920" spans="1:48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245"/>
      <c r="AQ920" s="4"/>
      <c r="AR920" s="4"/>
      <c r="AS920" s="4"/>
      <c r="AT920" s="4"/>
      <c r="AU920" s="4"/>
      <c r="AV920" s="4"/>
    </row>
    <row r="921" spans="1:48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245"/>
      <c r="AQ921" s="4"/>
      <c r="AR921" s="4"/>
      <c r="AS921" s="4"/>
      <c r="AT921" s="4"/>
      <c r="AU921" s="4"/>
      <c r="AV921" s="4"/>
    </row>
    <row r="922" spans="1:48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245"/>
      <c r="AQ922" s="4"/>
      <c r="AR922" s="4"/>
      <c r="AS922" s="4"/>
      <c r="AT922" s="4"/>
      <c r="AU922" s="4"/>
      <c r="AV922" s="4"/>
    </row>
    <row r="923" spans="1:48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245"/>
      <c r="AQ923" s="4"/>
      <c r="AR923" s="4"/>
      <c r="AS923" s="4"/>
      <c r="AT923" s="4"/>
      <c r="AU923" s="4"/>
      <c r="AV923" s="4"/>
    </row>
    <row r="924" spans="1:48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245"/>
      <c r="AQ924" s="4"/>
      <c r="AR924" s="4"/>
      <c r="AS924" s="4"/>
      <c r="AT924" s="4"/>
      <c r="AU924" s="4"/>
      <c r="AV924" s="4"/>
    </row>
    <row r="925" spans="1:48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245"/>
      <c r="AQ925" s="4"/>
      <c r="AR925" s="4"/>
      <c r="AS925" s="4"/>
      <c r="AT925" s="4"/>
      <c r="AU925" s="4"/>
      <c r="AV925" s="4"/>
    </row>
    <row r="926" spans="1:48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245"/>
      <c r="AQ926" s="4"/>
      <c r="AR926" s="4"/>
      <c r="AS926" s="4"/>
      <c r="AT926" s="4"/>
      <c r="AU926" s="4"/>
      <c r="AV926" s="4"/>
    </row>
    <row r="927" spans="1:48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245"/>
      <c r="AQ927" s="4"/>
      <c r="AR927" s="4"/>
      <c r="AS927" s="4"/>
      <c r="AT927" s="4"/>
      <c r="AU927" s="4"/>
      <c r="AV927" s="4"/>
    </row>
    <row r="928" spans="1:4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245"/>
      <c r="AQ928" s="4"/>
      <c r="AR928" s="4"/>
      <c r="AS928" s="4"/>
      <c r="AT928" s="4"/>
      <c r="AU928" s="4"/>
      <c r="AV928" s="4"/>
    </row>
    <row r="929" spans="1:48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245"/>
      <c r="AQ929" s="4"/>
      <c r="AR929" s="4"/>
      <c r="AS929" s="4"/>
      <c r="AT929" s="4"/>
      <c r="AU929" s="4"/>
      <c r="AV929" s="4"/>
    </row>
    <row r="930" spans="1:48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245"/>
      <c r="AQ930" s="4"/>
      <c r="AR930" s="4"/>
      <c r="AS930" s="4"/>
      <c r="AT930" s="4"/>
      <c r="AU930" s="4"/>
      <c r="AV930" s="4"/>
    </row>
    <row r="931" spans="1:48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245"/>
      <c r="AQ931" s="4"/>
      <c r="AR931" s="4"/>
      <c r="AS931" s="4"/>
      <c r="AT931" s="4"/>
      <c r="AU931" s="4"/>
      <c r="AV931" s="4"/>
    </row>
    <row r="932" spans="1:48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245"/>
      <c r="AQ932" s="4"/>
      <c r="AR932" s="4"/>
      <c r="AS932" s="4"/>
      <c r="AT932" s="4"/>
      <c r="AU932" s="4"/>
      <c r="AV932" s="4"/>
    </row>
    <row r="933" spans="1:48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245"/>
      <c r="AQ933" s="4"/>
      <c r="AR933" s="4"/>
      <c r="AS933" s="4"/>
      <c r="AT933" s="4"/>
      <c r="AU933" s="4"/>
      <c r="AV933" s="4"/>
    </row>
    <row r="934" spans="1:48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245"/>
      <c r="AQ934" s="4"/>
      <c r="AR934" s="4"/>
      <c r="AS934" s="4"/>
      <c r="AT934" s="4"/>
      <c r="AU934" s="4"/>
      <c r="AV934" s="4"/>
    </row>
    <row r="935" spans="1:48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245"/>
      <c r="AQ935" s="4"/>
      <c r="AR935" s="4"/>
      <c r="AS935" s="4"/>
      <c r="AT935" s="4"/>
      <c r="AU935" s="4"/>
      <c r="AV935" s="4"/>
    </row>
    <row r="936" spans="1:48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245"/>
      <c r="AQ936" s="4"/>
      <c r="AR936" s="4"/>
      <c r="AS936" s="4"/>
      <c r="AT936" s="4"/>
      <c r="AU936" s="4"/>
      <c r="AV936" s="4"/>
    </row>
    <row r="937" spans="1:48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245"/>
      <c r="AQ937" s="4"/>
      <c r="AR937" s="4"/>
      <c r="AS937" s="4"/>
      <c r="AT937" s="4"/>
      <c r="AU937" s="4"/>
      <c r="AV937" s="4"/>
    </row>
    <row r="938" spans="1:4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245"/>
      <c r="AQ938" s="4"/>
      <c r="AR938" s="4"/>
      <c r="AS938" s="4"/>
      <c r="AT938" s="4"/>
      <c r="AU938" s="4"/>
      <c r="AV938" s="4"/>
    </row>
    <row r="939" spans="1:48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245"/>
      <c r="AQ939" s="4"/>
      <c r="AR939" s="4"/>
      <c r="AS939" s="4"/>
      <c r="AT939" s="4"/>
      <c r="AU939" s="4"/>
      <c r="AV939" s="4"/>
    </row>
    <row r="940" spans="1:48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245"/>
      <c r="AQ940" s="4"/>
      <c r="AR940" s="4"/>
      <c r="AS940" s="4"/>
      <c r="AT940" s="4"/>
      <c r="AU940" s="4"/>
      <c r="AV940" s="4"/>
    </row>
    <row r="941" spans="1:48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245"/>
      <c r="AQ941" s="4"/>
      <c r="AR941" s="4"/>
      <c r="AS941" s="4"/>
      <c r="AT941" s="4"/>
      <c r="AU941" s="4"/>
      <c r="AV941" s="4"/>
    </row>
    <row r="942" spans="1:48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245"/>
      <c r="AQ942" s="4"/>
      <c r="AR942" s="4"/>
      <c r="AS942" s="4"/>
      <c r="AT942" s="4"/>
      <c r="AU942" s="4"/>
      <c r="AV942" s="4"/>
    </row>
    <row r="943" spans="1:48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245"/>
      <c r="AQ943" s="4"/>
      <c r="AR943" s="4"/>
      <c r="AS943" s="4"/>
      <c r="AT943" s="4"/>
      <c r="AU943" s="4"/>
      <c r="AV943" s="4"/>
    </row>
    <row r="944" spans="1:48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245"/>
      <c r="AQ944" s="4"/>
      <c r="AR944" s="4"/>
      <c r="AS944" s="4"/>
      <c r="AT944" s="4"/>
      <c r="AU944" s="4"/>
      <c r="AV944" s="4"/>
    </row>
    <row r="945" spans="1:48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245"/>
      <c r="AQ945" s="4"/>
      <c r="AR945" s="4"/>
      <c r="AS945" s="4"/>
      <c r="AT945" s="4"/>
      <c r="AU945" s="4"/>
      <c r="AV945" s="4"/>
    </row>
    <row r="946" spans="1:48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245"/>
      <c r="AQ946" s="4"/>
      <c r="AR946" s="4"/>
      <c r="AS946" s="4"/>
      <c r="AT946" s="4"/>
      <c r="AU946" s="4"/>
      <c r="AV946" s="4"/>
    </row>
    <row r="947" spans="1:48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245"/>
      <c r="AQ947" s="4"/>
      <c r="AR947" s="4"/>
      <c r="AS947" s="4"/>
      <c r="AT947" s="4"/>
      <c r="AU947" s="4"/>
      <c r="AV947" s="4"/>
    </row>
    <row r="948" spans="1: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245"/>
      <c r="AQ948" s="4"/>
      <c r="AR948" s="4"/>
      <c r="AS948" s="4"/>
      <c r="AT948" s="4"/>
      <c r="AU948" s="4"/>
      <c r="AV948" s="4"/>
    </row>
    <row r="949" spans="1:48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245"/>
      <c r="AQ949" s="4"/>
      <c r="AR949" s="4"/>
      <c r="AS949" s="4"/>
      <c r="AT949" s="4"/>
      <c r="AU949" s="4"/>
      <c r="AV949" s="4"/>
    </row>
    <row r="950" spans="1:48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245"/>
      <c r="AQ950" s="4"/>
      <c r="AR950" s="4"/>
      <c r="AS950" s="4"/>
      <c r="AT950" s="4"/>
      <c r="AU950" s="4"/>
      <c r="AV950" s="4"/>
    </row>
    <row r="951" spans="1:48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245"/>
      <c r="AQ951" s="4"/>
      <c r="AR951" s="4"/>
      <c r="AS951" s="4"/>
      <c r="AT951" s="4"/>
      <c r="AU951" s="4"/>
      <c r="AV951" s="4"/>
    </row>
    <row r="952" spans="1:48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245"/>
      <c r="AQ952" s="4"/>
      <c r="AR952" s="4"/>
      <c r="AS952" s="4"/>
      <c r="AT952" s="4"/>
      <c r="AU952" s="4"/>
      <c r="AV952" s="4"/>
    </row>
    <row r="953" spans="1:48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245"/>
      <c r="AQ953" s="4"/>
      <c r="AR953" s="4"/>
      <c r="AS953" s="4"/>
      <c r="AT953" s="4"/>
      <c r="AU953" s="4"/>
      <c r="AV953" s="4"/>
    </row>
    <row r="954" spans="1:48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245"/>
      <c r="AQ954" s="4"/>
      <c r="AR954" s="4"/>
      <c r="AS954" s="4"/>
      <c r="AT954" s="4"/>
      <c r="AU954" s="4"/>
      <c r="AV954" s="4"/>
    </row>
    <row r="955" spans="1:48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245"/>
      <c r="AQ955" s="4"/>
      <c r="AR955" s="4"/>
      <c r="AS955" s="4"/>
      <c r="AT955" s="4"/>
      <c r="AU955" s="4"/>
      <c r="AV955" s="4"/>
    </row>
    <row r="956" spans="1:48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245"/>
      <c r="AQ956" s="4"/>
      <c r="AR956" s="4"/>
      <c r="AS956" s="4"/>
      <c r="AT956" s="4"/>
      <c r="AU956" s="4"/>
      <c r="AV956" s="4"/>
    </row>
    <row r="957" spans="1:48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245"/>
      <c r="AQ957" s="4"/>
      <c r="AR957" s="4"/>
      <c r="AS957" s="4"/>
      <c r="AT957" s="4"/>
      <c r="AU957" s="4"/>
      <c r="AV957" s="4"/>
    </row>
    <row r="958" spans="1:4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245"/>
      <c r="AQ958" s="4"/>
      <c r="AR958" s="4"/>
      <c r="AS958" s="4"/>
      <c r="AT958" s="4"/>
      <c r="AU958" s="4"/>
      <c r="AV958" s="4"/>
    </row>
    <row r="959" spans="1:48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245"/>
      <c r="AQ959" s="4"/>
      <c r="AR959" s="4"/>
      <c r="AS959" s="4"/>
      <c r="AT959" s="4"/>
      <c r="AU959" s="4"/>
      <c r="AV959" s="4"/>
    </row>
    <row r="960" spans="1:48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245"/>
      <c r="AQ960" s="4"/>
      <c r="AR960" s="4"/>
      <c r="AS960" s="4"/>
      <c r="AT960" s="4"/>
      <c r="AU960" s="4"/>
      <c r="AV960" s="4"/>
    </row>
    <row r="961" spans="1:48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245"/>
      <c r="AQ961" s="4"/>
      <c r="AR961" s="4"/>
      <c r="AS961" s="4"/>
      <c r="AT961" s="4"/>
      <c r="AU961" s="4"/>
      <c r="AV961" s="4"/>
    </row>
    <row r="962" spans="1:48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245"/>
      <c r="AQ962" s="4"/>
      <c r="AR962" s="4"/>
      <c r="AS962" s="4"/>
      <c r="AT962" s="4"/>
      <c r="AU962" s="4"/>
      <c r="AV962" s="4"/>
    </row>
    <row r="963" spans="1:48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245"/>
      <c r="AQ963" s="4"/>
      <c r="AR963" s="4"/>
      <c r="AS963" s="4"/>
      <c r="AT963" s="4"/>
      <c r="AU963" s="4"/>
      <c r="AV963" s="4"/>
    </row>
    <row r="964" spans="1:48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245"/>
      <c r="AQ964" s="4"/>
      <c r="AR964" s="4"/>
      <c r="AS964" s="4"/>
      <c r="AT964" s="4"/>
      <c r="AU964" s="4"/>
      <c r="AV964" s="4"/>
    </row>
    <row r="965" spans="1:48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245"/>
      <c r="AQ965" s="4"/>
      <c r="AR965" s="4"/>
      <c r="AS965" s="4"/>
      <c r="AT965" s="4"/>
      <c r="AU965" s="4"/>
      <c r="AV965" s="4"/>
    </row>
    <row r="966" spans="1:48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245"/>
      <c r="AQ966" s="4"/>
      <c r="AR966" s="4"/>
      <c r="AS966" s="4"/>
      <c r="AT966" s="4"/>
      <c r="AU966" s="4"/>
      <c r="AV966" s="4"/>
    </row>
    <row r="967" spans="1:48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245"/>
      <c r="AQ967" s="4"/>
      <c r="AR967" s="4"/>
      <c r="AS967" s="4"/>
      <c r="AT967" s="4"/>
      <c r="AU967" s="4"/>
      <c r="AV967" s="4"/>
    </row>
    <row r="968" spans="1:4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245"/>
      <c r="AQ968" s="4"/>
      <c r="AR968" s="4"/>
      <c r="AS968" s="4"/>
      <c r="AT968" s="4"/>
      <c r="AU968" s="4"/>
      <c r="AV968" s="4"/>
    </row>
    <row r="969" spans="1:48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245"/>
      <c r="AQ969" s="4"/>
      <c r="AR969" s="4"/>
      <c r="AS969" s="4"/>
      <c r="AT969" s="4"/>
      <c r="AU969" s="4"/>
      <c r="AV969" s="4"/>
    </row>
    <row r="970" spans="1:48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245"/>
      <c r="AQ970" s="4"/>
      <c r="AR970" s="4"/>
      <c r="AS970" s="4"/>
      <c r="AT970" s="4"/>
      <c r="AU970" s="4"/>
      <c r="AV970" s="4"/>
    </row>
    <row r="971" spans="1:48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245"/>
      <c r="AQ971" s="4"/>
      <c r="AR971" s="4"/>
      <c r="AS971" s="4"/>
      <c r="AT971" s="4"/>
      <c r="AU971" s="4"/>
      <c r="AV971" s="4"/>
    </row>
    <row r="972" spans="1:48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245"/>
      <c r="AQ972" s="4"/>
      <c r="AR972" s="4"/>
      <c r="AS972" s="4"/>
      <c r="AT972" s="4"/>
      <c r="AU972" s="4"/>
      <c r="AV972" s="4"/>
    </row>
    <row r="973" spans="1:48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245"/>
      <c r="AQ973" s="4"/>
      <c r="AR973" s="4"/>
      <c r="AS973" s="4"/>
      <c r="AT973" s="4"/>
      <c r="AU973" s="4"/>
      <c r="AV973" s="4"/>
    </row>
    <row r="974" spans="1:48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245"/>
      <c r="AQ974" s="4"/>
      <c r="AR974" s="4"/>
      <c r="AS974" s="4"/>
      <c r="AT974" s="4"/>
      <c r="AU974" s="4"/>
      <c r="AV974" s="4"/>
    </row>
    <row r="975" spans="1:48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245"/>
      <c r="AQ975" s="4"/>
      <c r="AR975" s="4"/>
      <c r="AS975" s="4"/>
      <c r="AT975" s="4"/>
      <c r="AU975" s="4"/>
      <c r="AV975" s="4"/>
    </row>
    <row r="976" spans="1:48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245"/>
      <c r="AQ976" s="4"/>
      <c r="AR976" s="4"/>
      <c r="AS976" s="4"/>
      <c r="AT976" s="4"/>
      <c r="AU976" s="4"/>
      <c r="AV976" s="4"/>
    </row>
    <row r="977" spans="1:48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245"/>
      <c r="AQ977" s="4"/>
      <c r="AR977" s="4"/>
      <c r="AS977" s="4"/>
      <c r="AT977" s="4"/>
      <c r="AU977" s="4"/>
      <c r="AV977" s="4"/>
    </row>
    <row r="978" spans="1:4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245"/>
      <c r="AQ978" s="4"/>
      <c r="AR978" s="4"/>
      <c r="AS978" s="4"/>
      <c r="AT978" s="4"/>
      <c r="AU978" s="4"/>
      <c r="AV978" s="4"/>
    </row>
    <row r="979" spans="1:48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245"/>
      <c r="AQ979" s="4"/>
      <c r="AR979" s="4"/>
      <c r="AS979" s="4"/>
      <c r="AT979" s="4"/>
      <c r="AU979" s="4"/>
      <c r="AV979" s="4"/>
    </row>
    <row r="980" spans="1:48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245"/>
      <c r="AQ980" s="4"/>
      <c r="AR980" s="4"/>
      <c r="AS980" s="4"/>
      <c r="AT980" s="4"/>
      <c r="AU980" s="4"/>
      <c r="AV980" s="4"/>
    </row>
    <row r="981" spans="1:48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245"/>
      <c r="AQ981" s="4"/>
      <c r="AR981" s="4"/>
      <c r="AS981" s="4"/>
      <c r="AT981" s="4"/>
      <c r="AU981" s="4"/>
      <c r="AV981" s="4"/>
    </row>
    <row r="982" spans="1:48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245"/>
      <c r="AQ982" s="4"/>
      <c r="AR982" s="4"/>
      <c r="AS982" s="4"/>
      <c r="AT982" s="4"/>
      <c r="AU982" s="4"/>
      <c r="AV982" s="4"/>
    </row>
    <row r="983" spans="1:48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245"/>
      <c r="AQ983" s="4"/>
      <c r="AR983" s="4"/>
      <c r="AS983" s="4"/>
      <c r="AT983" s="4"/>
      <c r="AU983" s="4"/>
      <c r="AV983" s="4"/>
    </row>
    <row r="984" spans="1:48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245"/>
      <c r="AQ984" s="4"/>
      <c r="AR984" s="4"/>
      <c r="AS984" s="4"/>
      <c r="AT984" s="4"/>
      <c r="AU984" s="4"/>
      <c r="AV984" s="4"/>
    </row>
    <row r="985" spans="1:48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245"/>
      <c r="AQ985" s="4"/>
      <c r="AR985" s="4"/>
      <c r="AS985" s="4"/>
      <c r="AT985" s="4"/>
      <c r="AU985" s="4"/>
      <c r="AV985" s="4"/>
    </row>
    <row r="986" spans="1:48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245"/>
      <c r="AQ986" s="4"/>
      <c r="AR986" s="4"/>
      <c r="AS986" s="4"/>
      <c r="AT986" s="4"/>
      <c r="AU986" s="4"/>
      <c r="AV986" s="4"/>
    </row>
    <row r="987" spans="1:48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245"/>
      <c r="AQ987" s="4"/>
      <c r="AR987" s="4"/>
      <c r="AS987" s="4"/>
      <c r="AT987" s="4"/>
      <c r="AU987" s="4"/>
      <c r="AV987" s="4"/>
    </row>
    <row r="988" spans="1:4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245"/>
      <c r="AQ988" s="4"/>
      <c r="AR988" s="4"/>
      <c r="AS988" s="4"/>
      <c r="AT988" s="4"/>
      <c r="AU988" s="4"/>
      <c r="AV988" s="4"/>
    </row>
    <row r="989" spans="1:48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245"/>
      <c r="AQ989" s="4"/>
      <c r="AR989" s="4"/>
      <c r="AS989" s="4"/>
      <c r="AT989" s="4"/>
      <c r="AU989" s="4"/>
      <c r="AV989" s="4"/>
    </row>
    <row r="990" spans="1:48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245"/>
      <c r="AQ990" s="4"/>
      <c r="AR990" s="4"/>
      <c r="AS990" s="4"/>
      <c r="AT990" s="4"/>
      <c r="AU990" s="4"/>
      <c r="AV990" s="4"/>
    </row>
    <row r="991" spans="1:48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245"/>
      <c r="AQ991" s="4"/>
      <c r="AR991" s="4"/>
      <c r="AS991" s="4"/>
      <c r="AT991" s="4"/>
      <c r="AU991" s="4"/>
      <c r="AV991" s="4"/>
    </row>
    <row r="992" spans="1:48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245"/>
      <c r="AQ992" s="4"/>
      <c r="AR992" s="4"/>
      <c r="AS992" s="4"/>
      <c r="AT992" s="4"/>
      <c r="AU992" s="4"/>
      <c r="AV992" s="4"/>
    </row>
    <row r="993" spans="1:48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245"/>
      <c r="AQ993" s="4"/>
      <c r="AR993" s="4"/>
      <c r="AS993" s="4"/>
      <c r="AT993" s="4"/>
      <c r="AU993" s="4"/>
      <c r="AV993" s="4"/>
    </row>
    <row r="994" spans="1:48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245"/>
      <c r="AQ994" s="4"/>
      <c r="AR994" s="4"/>
      <c r="AS994" s="4"/>
      <c r="AT994" s="4"/>
      <c r="AU994" s="4"/>
      <c r="AV994" s="4"/>
    </row>
    <row r="995" spans="1:48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245"/>
      <c r="AQ995" s="4"/>
      <c r="AR995" s="4"/>
      <c r="AS995" s="4"/>
      <c r="AT995" s="4"/>
      <c r="AU995" s="4"/>
      <c r="AV995" s="4"/>
    </row>
    <row r="996" spans="1:48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245"/>
      <c r="AQ996" s="4"/>
      <c r="AR996" s="4"/>
      <c r="AS996" s="4"/>
      <c r="AT996" s="4"/>
      <c r="AU996" s="4"/>
      <c r="AV996" s="4"/>
    </row>
    <row r="997" spans="1:48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245"/>
      <c r="AQ997" s="4"/>
      <c r="AR997" s="4"/>
      <c r="AS997" s="4"/>
      <c r="AT997" s="4"/>
      <c r="AU997" s="4"/>
      <c r="AV997" s="4"/>
    </row>
    <row r="998" spans="1:4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245"/>
      <c r="AQ998" s="4"/>
      <c r="AR998" s="4"/>
      <c r="AS998" s="4"/>
      <c r="AT998" s="4"/>
      <c r="AU998" s="4"/>
      <c r="AV998" s="4"/>
    </row>
    <row r="999" spans="1:48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245"/>
      <c r="AQ999" s="4"/>
      <c r="AR999" s="4"/>
      <c r="AS999" s="4"/>
      <c r="AT999" s="4"/>
      <c r="AU999" s="4"/>
      <c r="AV999" s="4"/>
    </row>
    <row r="1000" spans="1:48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245"/>
      <c r="AQ1000" s="4"/>
      <c r="AR1000" s="4"/>
      <c r="AS1000" s="4"/>
      <c r="AT1000" s="4"/>
      <c r="AU1000" s="4"/>
      <c r="AV1000" s="4"/>
    </row>
  </sheetData>
  <mergeCells count="31">
    <mergeCell ref="AA32:AB32"/>
    <mergeCell ref="Z36:AG39"/>
    <mergeCell ref="Z42:AG44"/>
    <mergeCell ref="AB16:AC17"/>
    <mergeCell ref="AB18:AC18"/>
    <mergeCell ref="AD18:AE18"/>
    <mergeCell ref="AB19:AC19"/>
    <mergeCell ref="AD19:AE19"/>
    <mergeCell ref="Z24:Z25"/>
    <mergeCell ref="AA24:AB24"/>
    <mergeCell ref="AA16:AA17"/>
    <mergeCell ref="AD16:AE17"/>
    <mergeCell ref="AC24:AC25"/>
    <mergeCell ref="AD24:AD25"/>
    <mergeCell ref="AA31:AB31"/>
    <mergeCell ref="S16:S17"/>
    <mergeCell ref="T16:T17"/>
    <mergeCell ref="U16:U17"/>
    <mergeCell ref="V16:X16"/>
    <mergeCell ref="Z16:Z17"/>
    <mergeCell ref="AD9:AD10"/>
    <mergeCell ref="AE9:AE10"/>
    <mergeCell ref="AF9:AF10"/>
    <mergeCell ref="AG9:AG10"/>
    <mergeCell ref="U4:U5"/>
    <mergeCell ref="V4:X4"/>
    <mergeCell ref="U6:U8"/>
    <mergeCell ref="Z9:Z10"/>
    <mergeCell ref="AA9:AA10"/>
    <mergeCell ref="AB9:AB10"/>
    <mergeCell ref="AC9:AC10"/>
  </mergeCells>
  <pageMargins left="0.23622047244094491" right="0.23622047244094491" top="0.74803149606299213" bottom="0.74803149606299213" header="0" footer="0"/>
  <pageSetup paperSize="9" scale="80" fitToHeight="0" orientation="portrait" r:id="rId1"/>
  <colBreaks count="1" manualBreakCount="1">
    <brk id="25" min="2" max="49" man="1"/>
  </colBreaks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5" workbookViewId="0">
      <selection activeCell="B30" sqref="B30"/>
    </sheetView>
  </sheetViews>
  <sheetFormatPr defaultColWidth="14.42578125" defaultRowHeight="15" customHeight="1"/>
  <cols>
    <col min="1" max="2" width="8.85546875" customWidth="1"/>
    <col min="3" max="3" width="15.140625" customWidth="1"/>
    <col min="4" max="6" width="8.85546875" customWidth="1"/>
    <col min="7" max="7" width="20.140625" customWidth="1"/>
    <col min="8" max="8" width="8.85546875" customWidth="1"/>
    <col min="9" max="9" width="10.42578125" customWidth="1"/>
    <col min="10" max="26" width="8.85546875" customWidth="1"/>
  </cols>
  <sheetData>
    <row r="1" spans="1:26" ht="12.75" customHeight="1">
      <c r="A1" s="218"/>
      <c r="B1" s="219" t="s">
        <v>243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26" ht="12.75" customHeight="1">
      <c r="A2" s="218"/>
      <c r="B2" s="220"/>
      <c r="C2" s="218"/>
      <c r="D2" s="218"/>
      <c r="E2" s="218"/>
      <c r="F2" s="218"/>
      <c r="G2" s="218" t="s">
        <v>244</v>
      </c>
      <c r="H2" s="218" t="s">
        <v>245</v>
      </c>
      <c r="I2" s="218" t="s">
        <v>246</v>
      </c>
      <c r="J2" s="218" t="s">
        <v>139</v>
      </c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spans="1:26" ht="12.75" customHeight="1">
      <c r="A3" s="218"/>
      <c r="B3" s="221" t="s">
        <v>166</v>
      </c>
      <c r="C3" s="221" t="s">
        <v>149</v>
      </c>
      <c r="D3" s="218"/>
      <c r="E3" s="218"/>
      <c r="F3" s="218"/>
      <c r="G3" s="222" t="s">
        <v>247</v>
      </c>
      <c r="H3" s="223">
        <v>0</v>
      </c>
      <c r="I3" s="223">
        <f t="shared" ref="I3:I6" si="0">H3/(1-J3)</f>
        <v>0</v>
      </c>
      <c r="J3" s="224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spans="1:26" ht="12.75" customHeight="1">
      <c r="A4" s="225" t="s">
        <v>248</v>
      </c>
      <c r="B4" s="226">
        <v>45292</v>
      </c>
      <c r="C4" s="222" t="s">
        <v>247</v>
      </c>
      <c r="D4" s="227"/>
      <c r="E4" s="218"/>
      <c r="F4" s="218"/>
      <c r="G4" s="228" t="s">
        <v>12</v>
      </c>
      <c r="H4" s="223">
        <v>1.8849999999999999E-2</v>
      </c>
      <c r="I4" s="223">
        <f t="shared" si="0"/>
        <v>2.4480519480519478E-2</v>
      </c>
      <c r="J4" s="224">
        <v>0.23</v>
      </c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spans="1:26" ht="12.75" customHeight="1">
      <c r="A5" s="225" t="s">
        <v>249</v>
      </c>
      <c r="B5" s="226">
        <v>45323</v>
      </c>
      <c r="C5" s="222" t="s">
        <v>247</v>
      </c>
      <c r="D5" s="227"/>
      <c r="E5" s="218"/>
      <c r="F5" s="218"/>
      <c r="G5" s="229" t="s">
        <v>250</v>
      </c>
      <c r="H5" s="223">
        <v>4.4630000000000003E-2</v>
      </c>
      <c r="I5" s="223">
        <f t="shared" si="0"/>
        <v>5.7961038961038963E-2</v>
      </c>
      <c r="J5" s="224">
        <v>0.23</v>
      </c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spans="1:26" ht="12.75" customHeight="1">
      <c r="A6" s="218" t="s">
        <v>251</v>
      </c>
      <c r="B6" s="226">
        <v>45352</v>
      </c>
      <c r="C6" s="222" t="s">
        <v>247</v>
      </c>
      <c r="D6" s="227"/>
      <c r="E6" s="218"/>
      <c r="F6" s="218"/>
      <c r="G6" s="230" t="s">
        <v>9</v>
      </c>
      <c r="H6" s="223">
        <v>7.8770000000000007E-2</v>
      </c>
      <c r="I6" s="223">
        <f t="shared" si="0"/>
        <v>0.10229870129870131</v>
      </c>
      <c r="J6" s="224">
        <v>0.23</v>
      </c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spans="1:26" ht="12.75" customHeight="1">
      <c r="A7" s="218" t="s">
        <v>252</v>
      </c>
      <c r="B7" s="226">
        <v>45383</v>
      </c>
      <c r="C7" s="222" t="s">
        <v>247</v>
      </c>
      <c r="D7" s="227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spans="1:26" ht="12.75" customHeight="1">
      <c r="A8" s="218" t="s">
        <v>253</v>
      </c>
      <c r="B8" s="226">
        <v>45413</v>
      </c>
      <c r="C8" s="222" t="s">
        <v>247</v>
      </c>
      <c r="D8" s="227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spans="1:26" ht="12.75" customHeight="1">
      <c r="A9" s="218" t="s">
        <v>254</v>
      </c>
      <c r="B9" s="226">
        <v>45444</v>
      </c>
      <c r="C9" s="222" t="s">
        <v>247</v>
      </c>
      <c r="D9" s="227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spans="1:26" ht="12.75" customHeight="1">
      <c r="A10" s="218" t="s">
        <v>255</v>
      </c>
      <c r="B10" s="226">
        <v>45474</v>
      </c>
      <c r="C10" s="228" t="s">
        <v>12</v>
      </c>
      <c r="D10" s="227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spans="1:26" ht="12.75" customHeight="1">
      <c r="A11" s="218" t="s">
        <v>256</v>
      </c>
      <c r="B11" s="226">
        <v>45505</v>
      </c>
      <c r="C11" s="222" t="s">
        <v>247</v>
      </c>
      <c r="D11" s="227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spans="1:26" ht="12.75" customHeight="1">
      <c r="A12" s="218" t="s">
        <v>257</v>
      </c>
      <c r="B12" s="226">
        <v>45536</v>
      </c>
      <c r="C12" s="230" t="s">
        <v>9</v>
      </c>
      <c r="D12" s="227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spans="1:26" ht="12.75" customHeight="1">
      <c r="A13" s="218" t="s">
        <v>258</v>
      </c>
      <c r="B13" s="226">
        <v>45566</v>
      </c>
      <c r="C13" s="230" t="s">
        <v>9</v>
      </c>
      <c r="D13" s="227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spans="1:26" ht="12.75" customHeight="1">
      <c r="A14" s="218" t="s">
        <v>259</v>
      </c>
      <c r="B14" s="226">
        <v>45597</v>
      </c>
      <c r="C14" s="228" t="s">
        <v>12</v>
      </c>
      <c r="D14" s="227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spans="1:26" ht="12.75" customHeight="1">
      <c r="A15" s="218" t="s">
        <v>260</v>
      </c>
      <c r="B15" s="226">
        <v>45627</v>
      </c>
      <c r="C15" s="222" t="s">
        <v>247</v>
      </c>
      <c r="D15" s="227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spans="1:26" ht="12.75" customHeight="1">
      <c r="A16" s="218" t="s">
        <v>261</v>
      </c>
      <c r="B16" s="226">
        <v>45658</v>
      </c>
      <c r="C16" s="222" t="s">
        <v>247</v>
      </c>
      <c r="D16" s="227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spans="1:26" ht="12.75" customHeight="1">
      <c r="A17" s="218" t="s">
        <v>262</v>
      </c>
      <c r="B17" s="226">
        <v>45689</v>
      </c>
      <c r="C17" s="222" t="s">
        <v>247</v>
      </c>
      <c r="D17" s="227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spans="1:26" ht="12.75" customHeight="1">
      <c r="A18" s="218" t="s">
        <v>263</v>
      </c>
      <c r="B18" s="226">
        <v>45717</v>
      </c>
      <c r="C18" s="222" t="s">
        <v>247</v>
      </c>
      <c r="D18" s="227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spans="1:26" ht="12.75" customHeight="1">
      <c r="A19" s="218" t="s">
        <v>264</v>
      </c>
      <c r="B19" s="226">
        <v>45748</v>
      </c>
      <c r="C19" s="222" t="s">
        <v>247</v>
      </c>
      <c r="D19" s="227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spans="1:26" ht="12.75" customHeight="1">
      <c r="A20" s="218" t="s">
        <v>265</v>
      </c>
      <c r="B20" s="226">
        <v>45778</v>
      </c>
      <c r="C20" s="228" t="s">
        <v>12</v>
      </c>
      <c r="D20" s="227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spans="1:26" ht="12.75" customHeight="1">
      <c r="A21" s="218" t="s">
        <v>266</v>
      </c>
      <c r="B21" s="226">
        <v>45809</v>
      </c>
      <c r="C21" s="229" t="s">
        <v>250</v>
      </c>
      <c r="D21" s="227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spans="1:26" ht="12.75" customHeight="1">
      <c r="A22" s="218" t="s">
        <v>122</v>
      </c>
      <c r="B22" s="226">
        <v>45839</v>
      </c>
      <c r="C22" s="229" t="s">
        <v>250</v>
      </c>
      <c r="D22" s="227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spans="1:26" ht="12.75" customHeight="1">
      <c r="A23" s="218" t="s">
        <v>123</v>
      </c>
      <c r="B23" s="226">
        <v>45870</v>
      </c>
      <c r="C23" s="230" t="s">
        <v>9</v>
      </c>
      <c r="D23" s="227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spans="1:26" ht="12.75" customHeight="1">
      <c r="A24" s="218" t="s">
        <v>124</v>
      </c>
      <c r="B24" s="226">
        <v>45901</v>
      </c>
      <c r="C24" s="230" t="s">
        <v>9</v>
      </c>
      <c r="D24" s="227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spans="1:26" ht="12.75" customHeight="1">
      <c r="A25" s="218" t="s">
        <v>125</v>
      </c>
      <c r="B25" s="226">
        <v>45931</v>
      </c>
      <c r="C25" s="229" t="s">
        <v>250</v>
      </c>
      <c r="D25" s="227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spans="1:26" ht="12.75" customHeight="1">
      <c r="A26" s="218" t="s">
        <v>26</v>
      </c>
      <c r="B26" s="226">
        <v>45962</v>
      </c>
      <c r="C26" s="229" t="s">
        <v>250</v>
      </c>
      <c r="D26" s="227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spans="1:26" ht="12.75" customHeight="1">
      <c r="A27" s="218" t="s">
        <v>143</v>
      </c>
      <c r="B27" s="226">
        <v>45992</v>
      </c>
      <c r="C27" s="228" t="s">
        <v>12</v>
      </c>
      <c r="D27" s="227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spans="1:26" ht="12.75" customHeight="1">
      <c r="A28" s="265" t="s">
        <v>286</v>
      </c>
      <c r="B28" s="226">
        <v>46023</v>
      </c>
      <c r="C28" s="222" t="s">
        <v>247</v>
      </c>
      <c r="D28" s="227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spans="1:26" ht="12.75" customHeight="1">
      <c r="A29" s="265" t="s">
        <v>298</v>
      </c>
      <c r="B29" s="226">
        <v>46054</v>
      </c>
      <c r="C29" s="222" t="s">
        <v>247</v>
      </c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spans="1:26" ht="12.75" customHeight="1">
      <c r="A30" s="218"/>
      <c r="B30" s="218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spans="1:26" ht="12.75" customHeight="1">
      <c r="A31" s="218"/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spans="1:26" ht="12.75" customHeight="1">
      <c r="A32" s="218"/>
      <c r="B32" s="218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spans="1:26" ht="12.75" customHeight="1">
      <c r="A33" s="218"/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spans="1:26" ht="12.75" customHeight="1">
      <c r="A34" s="218"/>
      <c r="B34" s="218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spans="1:26" ht="12.75" customHeight="1">
      <c r="A35" s="218"/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spans="1:26" ht="12.75" customHeight="1">
      <c r="A36" s="218"/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spans="1:26" ht="12.75" customHeight="1">
      <c r="A37" s="218"/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spans="1:26" ht="12.75" customHeight="1">
      <c r="A38" s="218"/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spans="1:26" ht="12.75" customHeight="1">
      <c r="A39" s="218"/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spans="1:26" ht="12.75" customHeight="1">
      <c r="A40" s="218"/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spans="1:26" ht="12.75" customHeight="1">
      <c r="A41" s="218"/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spans="1:26" ht="12.75" customHeigh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spans="1:26" ht="12.75" customHeight="1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spans="1:26" ht="12.75" customHeight="1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spans="1:26" ht="12.75" customHeight="1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spans="1:26" ht="12.75" customHeight="1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spans="1:26" ht="12.75" customHeight="1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spans="1:26" ht="12.75" customHeight="1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spans="1:26" ht="12.75" customHeight="1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spans="1:26" ht="12.75" customHeight="1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spans="1:26" ht="12.75" customHeight="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spans="1:26" ht="12.75" customHeight="1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spans="1:26" ht="12.75" customHeight="1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spans="1:26" ht="12.75" customHeight="1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spans="1:26" ht="12.75" customHeight="1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spans="1:26" ht="12.75" customHeight="1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spans="1:26" ht="12.75" customHeight="1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spans="1:26" ht="12.75" customHeight="1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spans="1:26" ht="12.75" customHeight="1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spans="1:26" ht="12.75" customHeight="1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spans="1:26" ht="12.75" customHeight="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spans="1:26" ht="12.75" customHeight="1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spans="1:26" ht="12.75" customHeight="1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spans="1:26" ht="12.75" customHeight="1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spans="1:26" ht="12.75" customHeight="1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spans="1:26" ht="12.75" customHeight="1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spans="1:26" ht="12.75" customHeight="1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spans="1:26" ht="12.7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spans="1:26" ht="12.7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spans="1:26" ht="12.75" customHeigh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spans="1:26" ht="12.75" customHeight="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spans="1:26" ht="12.75" customHeight="1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spans="1:26" ht="12.75" customHeight="1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spans="1:26" ht="12.75" customHeight="1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spans="1:26" ht="12.75" customHeight="1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spans="1:26" ht="12.75" customHeight="1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spans="1:26" ht="12.75" customHeight="1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spans="1:26" ht="12.75" customHeight="1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spans="1:26" ht="12.75" customHeight="1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spans="1:26" ht="12.75" customHeight="1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spans="1:26" ht="12.75" customHeight="1">
      <c r="A81" s="218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spans="1:26" ht="12.75" customHeight="1">
      <c r="A82" s="218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spans="1:26" ht="12.75" customHeight="1">
      <c r="A83" s="218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spans="1:26" ht="12.75" customHeight="1">
      <c r="A84" s="218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spans="1:26" ht="12.75" customHeight="1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spans="1:26" ht="12.75" customHeight="1">
      <c r="A86" s="218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spans="1:26" ht="12.75" customHeight="1">
      <c r="A87" s="218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spans="1:26" ht="12.75" customHeight="1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spans="1:26" ht="12.75" customHeight="1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spans="1:26" ht="12.75" customHeight="1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spans="1:26" ht="12.75" customHeight="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spans="1:26" ht="12.75" customHeight="1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spans="1:26" ht="12.75" customHeight="1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spans="1:26" ht="12.75" customHeight="1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spans="1:26" ht="12.75" customHeight="1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spans="1:26" ht="12.75" customHeight="1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spans="1:26" ht="12.75" customHeight="1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spans="1:26" ht="12.75" customHeight="1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spans="1:26" ht="12.75" customHeight="1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spans="1:26" ht="12.75" customHeight="1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spans="1:26" ht="12.75" customHeight="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spans="1:26" ht="12.75" customHeight="1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spans="1:26" ht="12.75" customHeight="1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spans="1:26" ht="12.75" customHeight="1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spans="1:26" ht="12.75" customHeight="1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spans="1:26" ht="12.75" customHeight="1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spans="1:26" ht="12.75" customHeight="1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spans="1:26" ht="12.75" customHeight="1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spans="1:26" ht="12.75" customHeight="1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spans="1:26" ht="12.75" customHeight="1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spans="1:26" ht="12.75" customHeight="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spans="1:26" ht="12.75" customHeight="1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spans="1:26" ht="12.75" customHeight="1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spans="1:26" ht="12.75" customHeight="1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spans="1:26" ht="12.75" customHeight="1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spans="1:26" ht="12.75" customHeight="1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spans="1:26" ht="12.75" customHeight="1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spans="1:26" ht="12.75" customHeight="1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spans="1:26" ht="12.75" customHeight="1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spans="1:26" ht="12.75" customHeight="1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spans="1:26" ht="12.75" customHeight="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spans="1:26" ht="12.75" customHeight="1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spans="1:26" ht="12.75" customHeight="1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spans="1:26" ht="12.75" customHeight="1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spans="1:26" ht="12.75" customHeight="1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spans="1:26" ht="12.75" customHeight="1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spans="1:26" ht="12.75" customHeight="1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spans="1:26" ht="12.75" customHeight="1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spans="1:26" ht="12.75" customHeight="1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spans="1:26" ht="12.75" customHeight="1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spans="1:26" ht="12.75" customHeight="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spans="1:26" ht="12.75" customHeight="1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spans="1:26" ht="12.75" customHeight="1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spans="1:26" ht="12.75" customHeight="1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spans="1:26" ht="12.75" customHeight="1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spans="1:26" ht="12.75" customHeight="1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spans="1:26" ht="12.75" customHeight="1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spans="1:26" ht="12.75" customHeight="1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spans="1:26" ht="12.75" customHeight="1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spans="1:26" ht="12.75" customHeight="1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spans="1:26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spans="1:26" ht="12.75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spans="1:26" ht="12.75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spans="1:26" ht="12.75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spans="1:26" ht="12.75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spans="1:26" ht="12.75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spans="1:26" ht="12.75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spans="1:26" ht="12.75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spans="1:26" ht="12.75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spans="1:26" ht="12.75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spans="1:26" ht="12.75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spans="1:26" ht="12.75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spans="1:26" ht="12.75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spans="1:26" ht="12.75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spans="1:26" ht="12.75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spans="1:26" ht="12.75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spans="1:26" ht="12.75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spans="1:26" ht="12.75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spans="1:26" ht="12.75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spans="1:26" ht="12.75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spans="1:26" ht="12.75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spans="1:26" ht="12.75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spans="1:26" ht="12.75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spans="1:26" ht="12.75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spans="1:26" ht="12.75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spans="1:26" ht="12.75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spans="1:26" ht="12.75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spans="1:26" ht="12.75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spans="1:26" ht="12.75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spans="1:26" ht="12.75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spans="1:26" ht="12.75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spans="1:26" ht="12.75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spans="1:26" ht="12.75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spans="1:26" ht="12.75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spans="1:26" ht="12.75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spans="1:26" ht="12.75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spans="1:26" ht="12.75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spans="1:26" ht="12.75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spans="1:26" ht="12.75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spans="1:26" ht="12.75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spans="1:26" ht="12.75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spans="1:26" ht="12.75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spans="1:26" ht="12.75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spans="1:26" ht="12.75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spans="1:26" ht="12.75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spans="1:26" ht="12.75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spans="1:26" ht="12.75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spans="1:26" ht="12.75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spans="1:26" ht="12.75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spans="1:26" ht="12.75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spans="1:26" ht="12.75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spans="1:26" ht="12.75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spans="1:26" ht="12.75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spans="1:26" ht="12.75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spans="1:26" ht="12.75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spans="1:26" ht="12.75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spans="1:26" ht="12.75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spans="1:26" ht="12.75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spans="1:26" ht="12.75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spans="1:26" ht="12.75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spans="1:26" ht="12.75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spans="1:26" ht="12.75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spans="1:26" ht="12.75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spans="1:26" ht="12.75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spans="1:26" ht="12.75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spans="1:26" ht="12.75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spans="1:26" ht="12.75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spans="1:26" ht="12.75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spans="1:26" ht="12.75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spans="1:26" ht="12.75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spans="1:26" ht="12.75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spans="1:26" ht="12.75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spans="1:26" ht="12.75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spans="1:26" ht="12.75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spans="1:26" ht="12.75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spans="1:26" ht="12.75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spans="1:26" ht="12.75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spans="1:26" ht="12.75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spans="1:26" ht="12.75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spans="1:26" ht="12.75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spans="1:26" ht="12.75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spans="1:26" ht="12.75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spans="1:26" ht="12.75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spans="1:26" ht="12.75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spans="1:26" ht="12.75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spans="1:26" ht="12.75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spans="1:26" ht="12.75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spans="1:26" ht="12.75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spans="1:26" ht="12.75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spans="1:26" ht="12.75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spans="1:26" ht="12.75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spans="1:26" ht="12.75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spans="1:26" ht="12.75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spans="1:26" ht="12.75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spans="1:26" ht="12.75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spans="1:26" ht="12.75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spans="1:26" ht="12.75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spans="1:26" ht="12.75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spans="1:26" ht="12.75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spans="1:26" ht="12.75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spans="1:26" ht="12.75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spans="1:26" ht="12.75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spans="1:26" ht="12.75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spans="1:26" ht="12.75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spans="1:26" ht="12.75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spans="1:26" ht="12.75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spans="1:26" ht="12.75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spans="1:26" ht="12.75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spans="1:26" ht="12.75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spans="1:26" ht="12.75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spans="1:26" ht="12.75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spans="1:26" ht="12.75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spans="1:26" ht="12.75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spans="1:26" ht="12.75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spans="1:26" ht="12.75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spans="1:26" ht="12.75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spans="1:26" ht="12.75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spans="1:26" ht="12.75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spans="1:26" ht="12.75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spans="1:26" ht="12.75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spans="1:26" ht="12.75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spans="1:26" ht="12.75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spans="1:26" ht="12.75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spans="1:26" ht="12.75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spans="1:26" ht="12.75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spans="1:26" ht="12.75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spans="1:26" ht="12.75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spans="1:26" ht="12.75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spans="1:26" ht="12.75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spans="1:26" ht="12.75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spans="1:26" ht="12.75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spans="1:26" ht="12.75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spans="1:26" ht="12.75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spans="1:26" ht="12.75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spans="1:26" ht="12.75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spans="1:26" ht="12.75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spans="1:26" ht="12.75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spans="1:26" ht="12.75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spans="1:26" ht="12.75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spans="1:26" ht="12.75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spans="1:26" ht="12.75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spans="1:26" ht="12.75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spans="1:26" ht="12.75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spans="1:26" ht="12.75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spans="1:26" ht="12.75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spans="1:26" ht="12.75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spans="1:26" ht="12.75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spans="1:26" ht="12.75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spans="1:26" ht="12.75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spans="1:26" ht="12.75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spans="1:26" ht="12.75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spans="1:26" ht="12.75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spans="1:26" ht="12.75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spans="1:26" ht="12.75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spans="1:26" ht="12.75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spans="1:26" ht="12.75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spans="1:26" ht="12.75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spans="1:26" ht="12.75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spans="1:26" ht="12.75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spans="1:26" ht="12.75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spans="1:26" ht="12.75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spans="1:26" ht="12.75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spans="1:26" ht="12.75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spans="1:26" ht="12.75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spans="1:26" ht="12.75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spans="1:26" ht="12.75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spans="1:26" ht="12.75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spans="1:26" ht="12.75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spans="1:26" ht="12.75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spans="1:26" ht="12.75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spans="1:26" ht="12.75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spans="1:26" ht="12.75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spans="1:26" ht="12.75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spans="1:26" ht="12.75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spans="1:26" ht="12.75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spans="1:26" ht="12.75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spans="1:26" ht="12.75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spans="1:26" ht="12.75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spans="1:26" ht="12.75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spans="1:26" ht="12.75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spans="1:26" ht="12.75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spans="1:26" ht="12.75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spans="1:26" ht="12.75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spans="1:26" ht="12.75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spans="1:26" ht="12.75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spans="1:26" ht="12.75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spans="1:26" ht="12.75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spans="1:26" ht="12.75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spans="1:26" ht="12.75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spans="1:26" ht="12.75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spans="1:26" ht="12.75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spans="1:26" ht="12.75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spans="1:26" ht="12.75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spans="1:26" ht="12.75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spans="1:26" ht="12.75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spans="1:26" ht="12.75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spans="1:26" ht="12.75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spans="1:26" ht="12.75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spans="1:26" ht="12.75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spans="1:26" ht="12.75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spans="1:26" ht="12.75" customHeight="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spans="1:26" ht="12.75" customHeight="1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spans="1:26" ht="12.75" customHeight="1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spans="1:26" ht="12.75" customHeight="1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spans="1:26" ht="12.75" customHeight="1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spans="1:26" ht="12.75" customHeight="1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spans="1:26" ht="12.75" customHeight="1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spans="1:26" ht="12.75" customHeight="1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spans="1:26" ht="12.75" customHeight="1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spans="1:26" ht="12.75" customHeight="1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spans="1:26" ht="12.75" customHeight="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spans="1:26" ht="12.75" customHeight="1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spans="1:26" ht="12.75" customHeight="1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spans="1:26" ht="12.75" customHeight="1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spans="1:26" ht="12.75" customHeight="1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spans="1:26" ht="12.75" customHeight="1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spans="1:26" ht="12.75" customHeight="1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spans="1:26" ht="12.75" customHeight="1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spans="1:26" ht="12.75" customHeight="1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spans="1:26" ht="12.75" customHeight="1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spans="1:26" ht="12.75" customHeight="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spans="1:26" ht="12.75" customHeight="1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spans="1:26" ht="12.75" customHeight="1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spans="1:26" ht="12.75" customHeight="1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spans="1:26" ht="12.75" customHeight="1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spans="1:26" ht="12.75" customHeight="1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spans="1:26" ht="12.75" customHeight="1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spans="1:26" ht="12.75" customHeight="1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spans="1:26" ht="12.75" customHeight="1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spans="1:26" ht="12.75" customHeight="1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spans="1:26" ht="12.75" customHeight="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spans="1:26" ht="12.75" customHeight="1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spans="1:26" ht="12.75" customHeight="1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spans="1:26" ht="12.75" customHeight="1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spans="1:26" ht="12.75" customHeight="1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spans="1:26" ht="12.75" customHeight="1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spans="1:26" ht="12.75" customHeight="1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spans="1:26" ht="12.75" customHeight="1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spans="1:26" ht="12.75" customHeight="1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spans="1:26" ht="12.75" customHeight="1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spans="1:26" ht="12.75" customHeight="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spans="1:26" ht="12.75" customHeight="1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spans="1:26" ht="12.75" customHeight="1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spans="1:26" ht="12.75" customHeight="1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spans="1:26" ht="12.75" customHeight="1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spans="1:26" ht="12.75" customHeight="1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spans="1:26" ht="12.75" customHeight="1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spans="1:26" ht="12.75" customHeight="1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spans="1:26" ht="12.75" customHeight="1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spans="1:26" ht="12.75" customHeight="1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spans="1:26" ht="12.75" customHeight="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spans="1:26" ht="12.75" customHeight="1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spans="1:26" ht="12.75" customHeight="1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spans="1:26" ht="12.75" customHeight="1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spans="1:26" ht="12.75" customHeight="1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spans="1:26" ht="12.75" customHeight="1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spans="1:26" ht="12.75" customHeight="1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spans="1:26" ht="12.75" customHeight="1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spans="1:26" ht="12.75" customHeight="1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spans="1:26" ht="12.75" customHeight="1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spans="1:26" ht="12.75" customHeight="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spans="1:26" ht="12.75" customHeight="1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spans="1:26" ht="12.75" customHeight="1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spans="1:26" ht="12.75" customHeight="1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spans="1:26" ht="12.75" customHeight="1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spans="1:26" ht="12.75" customHeight="1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spans="1:26" ht="12.75" customHeight="1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spans="1:26" ht="12.75" customHeight="1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spans="1:26" ht="12.75" customHeight="1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spans="1:26" ht="12.75" customHeight="1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spans="1:26" ht="12.75" customHeight="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spans="1:26" ht="12.75" customHeight="1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spans="1:26" ht="12.75" customHeight="1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spans="1:26" ht="12.75" customHeight="1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spans="1:26" ht="12.75" customHeight="1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spans="1:26" ht="12.75" customHeight="1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spans="1:26" ht="12.75" customHeight="1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spans="1:26" ht="12.75" customHeight="1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spans="1:26" ht="12.75" customHeight="1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spans="1:26" ht="12.75" customHeight="1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spans="1:26" ht="12.75" customHeight="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spans="1:26" ht="12.75" customHeight="1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spans="1:26" ht="12.75" customHeight="1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spans="1:26" ht="12.75" customHeight="1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spans="1:26" ht="12.75" customHeight="1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spans="1:26" ht="12.75" customHeight="1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spans="1:26" ht="12.75" customHeight="1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spans="1:26" ht="12.75" customHeight="1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spans="1:26" ht="12.75" customHeight="1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spans="1:26" ht="12.75" customHeight="1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spans="1:26" ht="12.75" customHeight="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spans="1:26" ht="12.75" customHeight="1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spans="1:26" ht="12.75" customHeight="1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spans="1:26" ht="12.75" customHeight="1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spans="1:26" ht="12.75" customHeight="1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spans="1:26" ht="12.75" customHeight="1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spans="1:26" ht="12.75" customHeight="1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spans="1:26" ht="12.75" customHeight="1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spans="1:26" ht="12.75" customHeight="1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spans="1:26" ht="12.75" customHeight="1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spans="1:26" ht="12.75" customHeight="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spans="1:26" ht="12.75" customHeight="1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spans="1:26" ht="12.75" customHeight="1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spans="1:26" ht="12.75" customHeight="1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spans="1:26" ht="12.75" customHeight="1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spans="1:26" ht="12.75" customHeight="1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spans="1:26" ht="12.75" customHeight="1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spans="1:26" ht="12.75" customHeight="1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spans="1:26" ht="12.75" customHeight="1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spans="1:26" ht="12.75" customHeight="1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spans="1:26" ht="12.75" customHeight="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spans="1:26" ht="12.75" customHeight="1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spans="1:26" ht="12.75" customHeight="1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spans="1:26" ht="12.75" customHeight="1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spans="1:26" ht="12.75" customHeight="1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spans="1:26" ht="12.75" customHeight="1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spans="1:26" ht="12.75" customHeight="1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spans="1:26" ht="12.75" customHeight="1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spans="1:26" ht="12.75" customHeight="1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spans="1:26" ht="12.75" customHeight="1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spans="1:26" ht="12.75" customHeight="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spans="1:26" ht="12.75" customHeight="1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spans="1:26" ht="12.75" customHeight="1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spans="1:26" ht="12.75" customHeight="1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spans="1:26" ht="12.75" customHeight="1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spans="1:26" ht="12.75" customHeight="1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spans="1:26" ht="12.75" customHeight="1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spans="1:26" ht="12.75" customHeight="1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spans="1:26" ht="12.75" customHeight="1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spans="1:26" ht="12.75" customHeight="1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spans="1:26" ht="12.75" customHeight="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spans="1:26" ht="12.75" customHeight="1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spans="1:26" ht="12.75" customHeight="1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spans="1:26" ht="12.75" customHeight="1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spans="1:26" ht="12.75" customHeight="1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spans="1:26" ht="12.75" customHeight="1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spans="1:26" ht="12.75" customHeight="1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spans="1:26" ht="12.75" customHeight="1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spans="1:26" ht="12.75" customHeight="1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spans="1:26" ht="12.75" customHeight="1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spans="1:26" ht="12.75" customHeight="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spans="1:26" ht="12.75" customHeight="1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spans="1:26" ht="12.75" customHeight="1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spans="1:26" ht="12.75" customHeight="1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spans="1:26" ht="12.75" customHeight="1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spans="1:26" ht="12.75" customHeight="1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spans="1:26" ht="12.75" customHeight="1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spans="1:26" ht="12.75" customHeight="1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spans="1:26" ht="12.75" customHeight="1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spans="1:26" ht="12.75" customHeight="1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spans="1:26" ht="12.75" customHeight="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spans="1:26" ht="12.75" customHeight="1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spans="1:26" ht="12.75" customHeight="1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spans="1:26" ht="12.75" customHeight="1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spans="1:26" ht="12.75" customHeight="1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spans="1:26" ht="12.75" customHeight="1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spans="1:26" ht="12.75" customHeight="1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spans="1:26" ht="12.75" customHeight="1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spans="1:26" ht="12.75" customHeight="1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spans="1:26" ht="12.75" customHeight="1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spans="1:26" ht="12.75" customHeight="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spans="1:26" ht="12.75" customHeight="1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spans="1:26" ht="12.75" customHeight="1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spans="1:26" ht="12.75" customHeight="1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spans="1:26" ht="12.75" customHeight="1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spans="1:26" ht="12.75" customHeight="1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spans="1:26" ht="12.75" customHeight="1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spans="1:26" ht="12.75" customHeight="1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spans="1:26" ht="12.75" customHeight="1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spans="1:26" ht="12.75" customHeight="1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spans="1:26" ht="12.75" customHeight="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spans="1:26" ht="12.75" customHeight="1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spans="1:26" ht="12.75" customHeight="1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spans="1:26" ht="12.75" customHeight="1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spans="1:26" ht="12.75" customHeight="1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spans="1:26" ht="12.75" customHeight="1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spans="1:26" ht="12.75" customHeight="1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spans="1:26" ht="12.75" customHeight="1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spans="1:26" ht="12.75" customHeight="1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spans="1:26" ht="12.75" customHeight="1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spans="1:26" ht="12.75" customHeight="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spans="1:26" ht="12.75" customHeight="1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spans="1:26" ht="12.75" customHeight="1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spans="1:26" ht="12.75" customHeight="1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spans="1:26" ht="12.75" customHeight="1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spans="1:26" ht="12.75" customHeight="1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spans="1:26" ht="12.75" customHeight="1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spans="1:26" ht="12.75" customHeight="1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spans="1:26" ht="12.75" customHeight="1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spans="1:26" ht="12.75" customHeight="1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spans="1:26" ht="12.75" customHeight="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spans="1:26" ht="12.75" customHeight="1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spans="1:26" ht="12.75" customHeight="1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spans="1:26" ht="12.75" customHeight="1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spans="1:26" ht="12.75" customHeight="1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spans="1:26" ht="12.75" customHeight="1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spans="1:26" ht="12.75" customHeight="1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spans="1:26" ht="12.75" customHeight="1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spans="1:26" ht="12.75" customHeight="1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spans="1:26" ht="12.75" customHeight="1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spans="1:26" ht="12.75" customHeight="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spans="1:26" ht="12.75" customHeight="1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spans="1:26" ht="12.75" customHeight="1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spans="1:26" ht="12.75" customHeight="1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spans="1:26" ht="12.75" customHeight="1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spans="1:26" ht="12.75" customHeight="1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spans="1:26" ht="12.75" customHeight="1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spans="1:26" ht="12.75" customHeight="1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spans="1:26" ht="12.75" customHeight="1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spans="1:26" ht="12.75" customHeight="1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spans="1:26" ht="12.75" customHeight="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spans="1:26" ht="12.75" customHeight="1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spans="1:26" ht="12.75" customHeight="1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spans="1:26" ht="12.75" customHeight="1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spans="1:26" ht="12.75" customHeight="1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spans="1:26" ht="12.75" customHeight="1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spans="1:26" ht="12.75" customHeight="1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spans="1:26" ht="12.75" customHeight="1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spans="1:26" ht="12.75" customHeight="1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spans="1:26" ht="12.75" customHeight="1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spans="1:26" ht="12.75" customHeight="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spans="1:26" ht="12.75" customHeight="1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spans="1:26" ht="12.75" customHeight="1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spans="1:26" ht="12.75" customHeight="1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spans="1:26" ht="12.75" customHeight="1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spans="1:26" ht="12.75" customHeight="1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spans="1:26" ht="12.75" customHeight="1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spans="1:26" ht="12.75" customHeight="1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spans="1:26" ht="12.75" customHeight="1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spans="1:26" ht="12.75" customHeight="1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spans="1:26" ht="12.75" customHeight="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spans="1:26" ht="12.75" customHeight="1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spans="1:26" ht="12.75" customHeight="1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spans="1:26" ht="12.75" customHeight="1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spans="1:26" ht="12.75" customHeight="1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spans="1:26" ht="12.75" customHeight="1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spans="1:26" ht="12.75" customHeight="1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spans="1:26" ht="12.75" customHeight="1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spans="1:26" ht="12.75" customHeight="1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spans="1:26" ht="12.75" customHeight="1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spans="1:26" ht="12.75" customHeight="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spans="1:26" ht="12.75" customHeight="1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spans="1:26" ht="12.75" customHeight="1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spans="1:26" ht="12.75" customHeight="1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spans="1:26" ht="12.75" customHeight="1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spans="1:26" ht="12.75" customHeight="1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spans="1:26" ht="12.75" customHeight="1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spans="1:26" ht="12.75" customHeight="1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spans="1:26" ht="12.75" customHeight="1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spans="1:26" ht="12.75" customHeight="1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spans="1:26" ht="12.75" customHeight="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spans="1:26" ht="12.75" customHeight="1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spans="1:26" ht="12.75" customHeight="1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spans="1:26" ht="12.75" customHeight="1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spans="1:26" ht="12.75" customHeight="1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spans="1:26" ht="12.75" customHeight="1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spans="1:26" ht="12.75" customHeight="1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spans="1:26" ht="12.75" customHeight="1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spans="1:26" ht="12.75" customHeight="1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spans="1:26" ht="12.75" customHeight="1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spans="1:26" ht="12.75" customHeight="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spans="1:26" ht="12.75" customHeight="1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spans="1:26" ht="12.75" customHeight="1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spans="1:26" ht="12.75" customHeight="1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spans="1:26" ht="12.75" customHeight="1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spans="1:26" ht="12.75" customHeight="1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spans="1:26" ht="12.75" customHeight="1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spans="1:26" ht="12.75" customHeight="1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spans="1:26" ht="12.75" customHeight="1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spans="1:26" ht="12.75" customHeight="1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spans="1:26" ht="12.75" customHeight="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spans="1:26" ht="12.75" customHeight="1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spans="1:26" ht="12.75" customHeight="1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spans="1:26" ht="12.75" customHeight="1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spans="1:26" ht="12.75" customHeight="1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spans="1:26" ht="12.75" customHeight="1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spans="1:26" ht="12.75" customHeight="1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spans="1:26" ht="12.75" customHeight="1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spans="1:26" ht="12.75" customHeight="1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spans="1:26" ht="12.75" customHeight="1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spans="1:26" ht="12.75" customHeight="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spans="1:26" ht="12.75" customHeight="1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spans="1:26" ht="12.75" customHeight="1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spans="1:26" ht="12.75" customHeight="1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spans="1:26" ht="12.75" customHeight="1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spans="1:26" ht="12.75" customHeight="1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spans="1:26" ht="12.75" customHeight="1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spans="1:26" ht="12.75" customHeight="1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spans="1:26" ht="12.75" customHeight="1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spans="1:26" ht="12.75" customHeight="1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spans="1:26" ht="12.75" customHeight="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spans="1:26" ht="12.75" customHeight="1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spans="1:26" ht="12.75" customHeight="1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spans="1:26" ht="12.75" customHeight="1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spans="1:26" ht="12.75" customHeight="1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spans="1:26" ht="12.75" customHeight="1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spans="1:26" ht="12.75" customHeight="1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spans="1:26" ht="12.75" customHeight="1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spans="1:26" ht="12.75" customHeight="1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spans="1:26" ht="12.75" customHeight="1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spans="1:26" ht="12.75" customHeight="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spans="1:26" ht="12.75" customHeight="1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spans="1:26" ht="12.75" customHeight="1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spans="1:26" ht="12.75" customHeight="1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spans="1:26" ht="12.75" customHeight="1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spans="1:26" ht="12.75" customHeight="1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spans="1:26" ht="12.75" customHeight="1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spans="1:26" ht="12.75" customHeight="1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spans="1:26" ht="12.75" customHeight="1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spans="1:26" ht="12.75" customHeight="1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spans="1:26" ht="12.75" customHeight="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spans="1:26" ht="12.75" customHeight="1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spans="1:26" ht="12.75" customHeight="1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spans="1:26" ht="12.75" customHeight="1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spans="1:26" ht="12.75" customHeight="1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spans="1:26" ht="12.75" customHeight="1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spans="1:26" ht="12.75" customHeight="1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spans="1:26" ht="12.75" customHeight="1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spans="1:26" ht="12.75" customHeight="1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spans="1:26" ht="12.75" customHeight="1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spans="1:26" ht="12.75" customHeight="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spans="1:26" ht="12.75" customHeight="1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spans="1:26" ht="12.75" customHeight="1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spans="1:26" ht="12.75" customHeight="1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spans="1:26" ht="12.75" customHeight="1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spans="1:26" ht="12.75" customHeight="1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spans="1:26" ht="12.75" customHeight="1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spans="1:26" ht="12.75" customHeight="1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spans="1:26" ht="12.75" customHeight="1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spans="1:26" ht="12.75" customHeight="1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spans="1:26" ht="12.75" customHeight="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spans="1:26" ht="12.75" customHeight="1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spans="1:26" ht="12.75" customHeight="1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spans="1:26" ht="12.75" customHeight="1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spans="1:26" ht="12.75" customHeight="1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spans="1:26" ht="12.75" customHeight="1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spans="1:26" ht="12.75" customHeight="1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spans="1:26" ht="12.75" customHeight="1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spans="1:26" ht="12.75" customHeight="1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spans="1:26" ht="12.75" customHeight="1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spans="1:26" ht="12.75" customHeight="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spans="1:26" ht="12.75" customHeight="1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spans="1:26" ht="12.75" customHeight="1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spans="1:26" ht="12.75" customHeight="1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spans="1:26" ht="12.75" customHeight="1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spans="1:26" ht="12.75" customHeight="1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spans="1:26" ht="12.75" customHeight="1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spans="1:26" ht="12.75" customHeight="1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spans="1:26" ht="12.75" customHeight="1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spans="1:26" ht="12.75" customHeight="1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spans="1:26" ht="12.75" customHeight="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spans="1:26" ht="12.75" customHeight="1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spans="1:26" ht="12.75" customHeight="1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spans="1:26" ht="12.75" customHeight="1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spans="1:26" ht="12.75" customHeight="1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spans="1:26" ht="12.75" customHeight="1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spans="1:26" ht="12.75" customHeight="1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spans="1:26" ht="12.75" customHeight="1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spans="1:26" ht="12.75" customHeight="1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spans="1:26" ht="12.75" customHeight="1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spans="1:26" ht="12.75" customHeight="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spans="1:26" ht="12.75" customHeight="1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spans="1:26" ht="12.75" customHeight="1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spans="1:26" ht="12.75" customHeight="1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spans="1:26" ht="12.75" customHeight="1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spans="1:26" ht="12.75" customHeight="1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spans="1:26" ht="12.75" customHeight="1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spans="1:26" ht="12.75" customHeight="1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spans="1:26" ht="12.75" customHeight="1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spans="1:26" ht="12.75" customHeight="1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spans="1:26" ht="12.75" customHeight="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spans="1:26" ht="12.75" customHeight="1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spans="1:26" ht="12.75" customHeight="1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spans="1:26" ht="12.75" customHeight="1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spans="1:26" ht="12.75" customHeight="1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spans="1:26" ht="12.75" customHeight="1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spans="1:26" ht="12.75" customHeight="1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spans="1:26" ht="12.75" customHeight="1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spans="1:26" ht="12.75" customHeight="1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spans="1:26" ht="12.75" customHeight="1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spans="1:26" ht="12.75" customHeight="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spans="1:26" ht="12.75" customHeight="1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spans="1:26" ht="12.75" customHeight="1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spans="1:26" ht="12.75" customHeight="1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spans="1:26" ht="12.75" customHeight="1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spans="1:26" ht="12.75" customHeight="1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spans="1:26" ht="12.75" customHeight="1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spans="1:26" ht="12.75" customHeight="1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spans="1:26" ht="12.75" customHeight="1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spans="1:26" ht="12.75" customHeight="1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spans="1:26" ht="12.75" customHeight="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spans="1:26" ht="12.75" customHeight="1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spans="1:26" ht="12.75" customHeight="1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spans="1:26" ht="12.75" customHeight="1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spans="1:26" ht="12.75" customHeight="1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spans="1:26" ht="12.75" customHeight="1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spans="1:26" ht="12.75" customHeight="1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spans="1:26" ht="12.75" customHeight="1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spans="1:26" ht="12.75" customHeight="1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spans="1:26" ht="12.75" customHeight="1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spans="1:26" ht="12.75" customHeight="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spans="1:26" ht="12.75" customHeight="1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spans="1:26" ht="12.75" customHeight="1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spans="1:26" ht="12.75" customHeight="1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spans="1:26" ht="12.75" customHeight="1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spans="1:26" ht="12.75" customHeight="1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spans="1:26" ht="12.75" customHeight="1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spans="1:26" ht="12.75" customHeight="1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spans="1:26" ht="12.75" customHeight="1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spans="1:26" ht="12.75" customHeight="1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spans="1:26" ht="12.75" customHeight="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spans="1:26" ht="12.75" customHeight="1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spans="1:26" ht="12.75" customHeight="1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spans="1:26" ht="12.75" customHeight="1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spans="1:26" ht="12.75" customHeight="1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spans="1:26" ht="12.75" customHeight="1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spans="1:26" ht="12.75" customHeight="1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spans="1:26" ht="12.75" customHeight="1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spans="1:26" ht="12.75" customHeight="1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spans="1:26" ht="12.75" customHeight="1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spans="1:26" ht="12.75" customHeight="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spans="1:26" ht="12.75" customHeight="1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spans="1:26" ht="12.75" customHeight="1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spans="1:26" ht="12.75" customHeight="1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spans="1:26" ht="12.75" customHeight="1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spans="1:26" ht="12.75" customHeight="1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spans="1:26" ht="12.75" customHeight="1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spans="1:26" ht="12.75" customHeight="1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spans="1:26" ht="12.75" customHeight="1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spans="1:26" ht="12.75" customHeight="1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spans="1:26" ht="12.75" customHeight="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spans="1:26" ht="12.75" customHeight="1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spans="1:26" ht="12.75" customHeight="1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spans="1:26" ht="12.75" customHeight="1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spans="1:26" ht="12.75" customHeight="1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spans="1:26" ht="12.75" customHeight="1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spans="1:26" ht="12.75" customHeight="1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spans="1:26" ht="12.75" customHeight="1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spans="1:26" ht="12.75" customHeight="1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spans="1:26" ht="12.75" customHeight="1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spans="1:26" ht="12.75" customHeight="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spans="1:26" ht="12.75" customHeight="1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spans="1:26" ht="12.75" customHeight="1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spans="1:26" ht="12.75" customHeight="1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spans="1:26" ht="12.75" customHeight="1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spans="1:26" ht="12.75" customHeight="1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spans="1:26" ht="12.75" customHeight="1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spans="1:26" ht="12.75" customHeight="1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spans="1:26" ht="12.75" customHeight="1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spans="1:26" ht="12.75" customHeight="1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spans="1:26" ht="12.75" customHeight="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spans="1:26" ht="12.75" customHeight="1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spans="1:26" ht="12.75" customHeight="1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spans="1:26" ht="12.75" customHeight="1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spans="1:26" ht="12.75" customHeight="1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spans="1:26" ht="12.75" customHeight="1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spans="1:26" ht="12.75" customHeight="1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spans="1:26" ht="12.75" customHeight="1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spans="1:26" ht="12.75" customHeight="1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spans="1:26" ht="12.75" customHeight="1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spans="1:26" ht="12.75" customHeight="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spans="1:26" ht="12.75" customHeight="1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spans="1:26" ht="12.75" customHeight="1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spans="1:26" ht="12.75" customHeight="1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spans="1:26" ht="12.75" customHeight="1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spans="1:26" ht="12.75" customHeight="1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spans="1:26" ht="12.75" customHeight="1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spans="1:26" ht="12.75" customHeight="1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spans="1:26" ht="12.75" customHeight="1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spans="1:26" ht="12.75" customHeight="1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spans="1:26" ht="12.75" customHeight="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spans="1:26" ht="12.75" customHeight="1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spans="1:26" ht="12.75" customHeight="1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spans="1:26" ht="12.75" customHeight="1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spans="1:26" ht="12.75" customHeight="1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spans="1:26" ht="12.75" customHeight="1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spans="1:26" ht="12.75" customHeight="1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spans="1:26" ht="12.75" customHeight="1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spans="1:26" ht="12.75" customHeight="1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spans="1:26" ht="12.75" customHeight="1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spans="1:26" ht="12.75" customHeight="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spans="1:26" ht="12.75" customHeight="1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spans="1:26" ht="12.75" customHeight="1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spans="1:26" ht="12.75" customHeight="1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spans="1:26" ht="12.75" customHeight="1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spans="1:26" ht="12.75" customHeight="1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spans="1:26" ht="12.75" customHeight="1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spans="1:26" ht="12.75" customHeight="1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spans="1:26" ht="12.75" customHeight="1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spans="1:26" ht="12.75" customHeight="1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spans="1:26" ht="12.75" customHeight="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spans="1:26" ht="12.75" customHeight="1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spans="1:26" ht="12.75" customHeight="1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spans="1:26" ht="12.75" customHeight="1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spans="1:26" ht="12.75" customHeight="1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spans="1:26" ht="12.75" customHeight="1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spans="1:26" ht="12.75" customHeight="1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spans="1:26" ht="12.75" customHeight="1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spans="1:26" ht="12.75" customHeight="1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spans="1:26" ht="12.75" customHeight="1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spans="1:26" ht="12.75" customHeight="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spans="1:26" ht="12.75" customHeight="1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spans="1:26" ht="12.75" customHeight="1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spans="1:26" ht="12.75" customHeight="1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spans="1:26" ht="12.75" customHeight="1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spans="1:26" ht="12.75" customHeight="1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spans="1:26" ht="12.75" customHeight="1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spans="1:26" ht="12.75" customHeight="1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spans="1:26" ht="12.75" customHeight="1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spans="1:26" ht="12.75" customHeight="1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spans="1:26" ht="12.75" customHeight="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spans="1:26" ht="12.75" customHeight="1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spans="1:26" ht="12.75" customHeight="1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spans="1:26" ht="12.75" customHeight="1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spans="1:26" ht="12.75" customHeight="1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spans="1:26" ht="12.75" customHeight="1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spans="1:26" ht="12.75" customHeight="1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spans="1:26" ht="12.75" customHeight="1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spans="1:26" ht="12.75" customHeight="1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spans="1:26" ht="12.75" customHeight="1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spans="1:26" ht="12.75" customHeight="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spans="1:26" ht="12.75" customHeight="1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spans="1:26" ht="12.75" customHeight="1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spans="1:26" ht="12.75" customHeight="1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spans="1:26" ht="12.75" customHeight="1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spans="1:26" ht="12.75" customHeight="1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spans="1:26" ht="12.75" customHeight="1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spans="1:26" ht="12.75" customHeight="1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spans="1:26" ht="12.75" customHeight="1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spans="1:26" ht="12.75" customHeight="1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spans="1:26" ht="12.75" customHeight="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spans="1:26" ht="12.75" customHeight="1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spans="1:26" ht="12.75" customHeight="1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spans="1:26" ht="12.75" customHeight="1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spans="1:26" ht="12.75" customHeight="1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spans="1:26" ht="12.75" customHeight="1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spans="1:26" ht="12.75" customHeight="1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spans="1:26" ht="12.75" customHeight="1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spans="1:26" ht="12.75" customHeight="1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spans="1:26" ht="12.75" customHeight="1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spans="1:26" ht="12.75" customHeight="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spans="1:26" ht="12.75" customHeight="1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spans="1:26" ht="12.75" customHeight="1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spans="1:26" ht="12.75" customHeight="1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spans="1:26" ht="12.75" customHeight="1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spans="1:26" ht="12.75" customHeight="1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spans="1:26" ht="12.75" customHeight="1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spans="1:26" ht="12.75" customHeight="1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spans="1:26" ht="12.75" customHeight="1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spans="1:26" ht="12.75" customHeight="1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spans="1:26" ht="12.75" customHeight="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spans="1:26" ht="12.75" customHeight="1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spans="1:26" ht="12.75" customHeight="1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spans="1:26" ht="12.75" customHeight="1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spans="1:26" ht="12.75" customHeight="1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spans="1:26" ht="12.75" customHeight="1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spans="1:26" ht="12.75" customHeight="1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spans="1:26" ht="12.75" customHeight="1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spans="1:26" ht="12.75" customHeight="1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spans="1:26" ht="12.75" customHeight="1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spans="1:26" ht="12.75" customHeight="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spans="1:26" ht="12.75" customHeight="1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spans="1:26" ht="12.75" customHeight="1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spans="1:26" ht="12.75" customHeight="1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spans="1:26" ht="12.75" customHeight="1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spans="1:26" ht="12.75" customHeight="1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spans="1:26" ht="12.75" customHeight="1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spans="1:26" ht="12.75" customHeight="1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spans="1:26" ht="12.75" customHeight="1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spans="1:26" ht="12.75" customHeight="1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spans="1:26" ht="12.75" customHeight="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spans="1:26" ht="12.75" customHeight="1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spans="1:26" ht="12.75" customHeight="1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spans="1:26" ht="12.75" customHeight="1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spans="1:26" ht="12.75" customHeight="1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spans="1:26" ht="12.75" customHeight="1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spans="1:26" ht="12.75" customHeight="1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spans="1:26" ht="12.75" customHeight="1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spans="1:26" ht="12.75" customHeight="1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spans="1:26" ht="12.75" customHeight="1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spans="1:26" ht="12.75" customHeight="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spans="1:26" ht="12.75" customHeight="1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spans="1:26" ht="12.75" customHeight="1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spans="1:26" ht="12.75" customHeight="1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spans="1:26" ht="12.75" customHeight="1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spans="1:26" ht="12.75" customHeight="1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spans="1:26" ht="12.75" customHeight="1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spans="1:26" ht="12.75" customHeight="1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spans="1:26" ht="12.75" customHeight="1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spans="1:26" ht="12.75" customHeight="1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spans="1:26" ht="12.75" customHeight="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spans="1:26" ht="12.75" customHeight="1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spans="1:26" ht="12.75" customHeight="1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spans="1:26" ht="12.75" customHeight="1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spans="1:26" ht="12.75" customHeight="1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spans="1:26" ht="12.75" customHeight="1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spans="1:26" ht="12.75" customHeight="1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spans="1:26" ht="12.75" customHeight="1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spans="1:26" ht="12.75" customHeight="1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spans="1:26" ht="12.75" customHeight="1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spans="1:26" ht="12.75" customHeight="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spans="1:26" ht="12.75" customHeight="1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spans="1:26" ht="12.75" customHeight="1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spans="1:26" ht="12.75" customHeight="1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spans="1:26" ht="12.75" customHeight="1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spans="1:26" ht="12.75" customHeight="1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spans="1:26" ht="12.75" customHeight="1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spans="1:26" ht="12.75" customHeight="1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spans="1:26" ht="12.75" customHeight="1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spans="1:26" ht="12.75" customHeight="1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spans="1:26" ht="12.75" customHeight="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spans="1:26" ht="12.75" customHeight="1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spans="1:26" ht="12.75" customHeight="1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spans="1:26" ht="12.75" customHeight="1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spans="1:26" ht="12.75" customHeight="1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spans="1:26" ht="12.75" customHeight="1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spans="1:26" ht="12.75" customHeight="1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spans="1:26" ht="12.75" customHeight="1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spans="1:26" ht="12.75" customHeight="1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spans="1:26" ht="12.75" customHeight="1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spans="1:26" ht="12.75" customHeight="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spans="1:26" ht="12.75" customHeight="1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spans="1:26" ht="12.75" customHeight="1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spans="1:26" ht="12.75" customHeight="1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spans="1:26" ht="12.75" customHeight="1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spans="1:26" ht="12.75" customHeight="1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spans="1:26" ht="12.75" customHeight="1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spans="1:26" ht="12.75" customHeight="1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spans="1:26" ht="12.75" customHeight="1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spans="1:26" ht="12.75" customHeight="1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spans="1:26" ht="12.75" customHeight="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spans="1:26" ht="12.75" customHeight="1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spans="1:26" ht="12.75" customHeight="1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spans="1:26" ht="12.75" customHeight="1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spans="1:26" ht="12.75" customHeight="1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spans="1:26" ht="12.75" customHeight="1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spans="1:26" ht="12.75" customHeight="1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spans="1:26" ht="12.75" customHeight="1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spans="1:26" ht="12.75" customHeight="1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spans="1:26" ht="12.75" customHeight="1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spans="1:26" ht="12.75" customHeight="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spans="1:26" ht="12.75" customHeight="1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spans="1:26" ht="12.75" customHeight="1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spans="1:26" ht="12.75" customHeight="1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spans="1:26" ht="12.75" customHeight="1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spans="1:26" ht="12.75" customHeight="1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spans="1:26" ht="12.75" customHeight="1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spans="1:26" ht="12.75" customHeight="1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spans="1:26" ht="12.75" customHeight="1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spans="1:26" ht="12.75" customHeight="1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spans="1:26" ht="12.75" customHeight="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spans="1:26" ht="12.75" customHeight="1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spans="1:26" ht="12.75" customHeight="1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spans="1:26" ht="12.75" customHeight="1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spans="1:26" ht="12.75" customHeight="1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spans="1:26" ht="12.75" customHeight="1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spans="1:26" ht="12.75" customHeight="1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spans="1:26" ht="12.75" customHeight="1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spans="1:26" ht="12.75" customHeight="1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spans="1:26" ht="12.75" customHeight="1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2578125" defaultRowHeight="15" customHeight="1"/>
  <cols>
    <col min="1" max="1" width="14.85546875" customWidth="1"/>
    <col min="2" max="2" width="84.42578125" customWidth="1"/>
    <col min="3" max="4" width="13.85546875" customWidth="1"/>
    <col min="5" max="26" width="8.85546875" customWidth="1"/>
  </cols>
  <sheetData>
    <row r="1" spans="1:4" ht="14.25" customHeight="1">
      <c r="A1" s="231" t="s">
        <v>269</v>
      </c>
      <c r="B1" s="231" t="s">
        <v>35</v>
      </c>
      <c r="C1" s="231" t="s">
        <v>36</v>
      </c>
      <c r="D1" s="231" t="s">
        <v>270</v>
      </c>
    </row>
    <row r="2" spans="1:4" ht="14.25" customHeight="1">
      <c r="A2" s="232" t="s">
        <v>82</v>
      </c>
      <c r="B2" s="231" t="str">
        <f>VLOOKUP(A2,Cad.RateioConsumo!$B$4:$Q$66,2,FALSE)</f>
        <v>Antonio Jose Souza Filho</v>
      </c>
      <c r="C2" s="231">
        <f>VLOOKUP(A2,Cad.RateioConsumo!$B$4:$Q$66,5,FALSE)</f>
        <v>3007625048</v>
      </c>
      <c r="D2" s="233" t="s">
        <v>271</v>
      </c>
    </row>
    <row r="3" spans="1:4" ht="14.25" customHeight="1">
      <c r="A3" s="232"/>
      <c r="B3" s="231">
        <f>IFERROR(VLOOKUP(A3,Cad.RateioConsumo!$B$4:$Q$66,2,FALSE), )</f>
        <v>0</v>
      </c>
      <c r="C3" s="231" t="e">
        <f>VLOOKUP(A3,Cad.RateioConsumo!$B$4:$Q$66,5,FALSE)</f>
        <v>#N/A</v>
      </c>
      <c r="D3" s="233" t="s">
        <v>271</v>
      </c>
    </row>
    <row r="4" spans="1:4" ht="14.25" customHeight="1">
      <c r="A4" s="232"/>
      <c r="B4" s="231">
        <f>IFERROR(VLOOKUP(A4,Cad.RateioConsumo!$B$4:$Q$66,2,FALSE), )</f>
        <v>0</v>
      </c>
      <c r="C4" s="231" t="e">
        <f>VLOOKUP(A4,Cad.RateioConsumo!$B$4:$Q$66,5,FALSE)</f>
        <v>#N/A</v>
      </c>
      <c r="D4" s="233" t="s">
        <v>271</v>
      </c>
    </row>
    <row r="5" spans="1:4" ht="14.25" customHeight="1">
      <c r="B5" s="234" t="str">
        <f>"Segunda Via "&amp;B2&amp;" - Unidade "&amp;C2</f>
        <v>Segunda Via Antonio Jose Souza Filho - Unidade 3007625048</v>
      </c>
    </row>
    <row r="6" spans="1:4" ht="14.25" customHeight="1">
      <c r="B6" s="234" t="e">
        <f>"Segunda Via "&amp;B2&amp;" - Unidades "&amp;C2&amp;" ,"&amp;C3&amp;" e "&amp;C4</f>
        <v>#N/A</v>
      </c>
    </row>
    <row r="7" spans="1:4" ht="14.25" customHeight="1">
      <c r="B7" s="234" t="str">
        <f>"Prezados
Na qualidade de procurador da empresa "&amp;B2&amp;" solicito a 2ª via da conta de energia na unidade "&amp;C2&amp;" relativo ao mês de  "&amp;D2&amp;". Não estamos conseguindo acessar pela agencia web."</f>
        <v>Prezados
Na qualidade de procurador da empresa Antonio Jose Souza Filho solicito a 2ª via da conta de energia na unidade 3007625048 relativo ao mês de  8/2025. Não estamos conseguindo acessar pela agencia web.</v>
      </c>
    </row>
    <row r="8" spans="1:4" ht="14.25" customHeight="1">
      <c r="B8" s="234" t="str">
        <f>"Envio documentos em anexo:
Dos associados:
1) Ficha de Associado e Documentos do "&amp;B2&amp;"
Atenciosamente,
Paula Makaron"</f>
        <v>Envio documentos em anexo:
Dos associados:
1) Ficha de Associado e Documentos do Antonio Jose Souza Filho
Atenciosamente,
Paula Makaron</v>
      </c>
    </row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selection activeCell="H2" sqref="H2"/>
    </sheetView>
  </sheetViews>
  <sheetFormatPr defaultColWidth="14.42578125" defaultRowHeight="15" customHeight="1"/>
  <cols>
    <col min="1" max="1" width="14.85546875" customWidth="1"/>
    <col min="2" max="2" width="40.140625" customWidth="1"/>
    <col min="3" max="3" width="18.5703125" customWidth="1"/>
    <col min="4" max="4" width="13.85546875" customWidth="1"/>
    <col min="5" max="5" width="10.85546875" customWidth="1"/>
    <col min="6" max="6" width="10.140625" customWidth="1"/>
    <col min="7" max="7" width="9.140625" customWidth="1"/>
    <col min="8" max="9" width="10.85546875" customWidth="1"/>
    <col min="10" max="10" width="8.85546875" customWidth="1"/>
    <col min="11" max="11" width="10.85546875" customWidth="1"/>
    <col min="12" max="13" width="14.85546875" customWidth="1"/>
    <col min="14" max="27" width="8.85546875" customWidth="1"/>
  </cols>
  <sheetData>
    <row r="1" spans="1:13" ht="14.25" customHeight="1">
      <c r="A1" s="231" t="s">
        <v>269</v>
      </c>
      <c r="B1" s="231" t="s">
        <v>35</v>
      </c>
      <c r="C1" s="231" t="s">
        <v>36</v>
      </c>
      <c r="D1" s="231" t="s">
        <v>270</v>
      </c>
      <c r="E1" s="231" t="s">
        <v>150</v>
      </c>
      <c r="F1" s="231" t="s">
        <v>272</v>
      </c>
      <c r="G1" s="231" t="s">
        <v>151</v>
      </c>
      <c r="H1" s="235" t="s">
        <v>273</v>
      </c>
      <c r="I1" s="235" t="s">
        <v>273</v>
      </c>
      <c r="K1" s="236" t="s">
        <v>267</v>
      </c>
      <c r="L1" s="236" t="s">
        <v>274</v>
      </c>
      <c r="M1" s="236" t="s">
        <v>275</v>
      </c>
    </row>
    <row r="2" spans="1:13" ht="14.25" customHeight="1">
      <c r="A2" s="232">
        <v>32</v>
      </c>
      <c r="B2" s="237" t="str">
        <f>VLOOKUP(A2,Faturas!$A$4:$L$229,3,FALSE)</f>
        <v>Associação dos Moradores do Residencial Araçagy</v>
      </c>
      <c r="C2" s="231">
        <f>VLOOKUP(A2,Faturas!$A$4:$L$229,6,FALSE)</f>
        <v>3021150559</v>
      </c>
      <c r="D2" s="238" t="str">
        <f>VLOOKUP(A2,Faturas!$A$4:$L$229,8,FALSE)</f>
        <v>01/2026</v>
      </c>
      <c r="E2" s="239">
        <f>VLOOKUP(A2,Faturas!$A$4:$L$229,9,FALSE)</f>
        <v>1466.48</v>
      </c>
      <c r="F2" s="239">
        <f>VLOOKUP(A2,Medições!$E$3:$AF$196,13,FALSE)</f>
        <v>1528.95</v>
      </c>
      <c r="G2" s="239">
        <f>VLOOKUP(A2,Medições!$E$3:$AF$96,19,FALSE)</f>
        <v>258.78718000000003</v>
      </c>
      <c r="H2" t="str">
        <f>VLOOKUP(C2,Cad.RateioConsumo!F4:S20,14,FALSE)</f>
        <v>suporteigsgestao@gmail.com</v>
      </c>
      <c r="I2" t="str">
        <f>VLOOKUP(C2,Cad.RateioConsumo!F4:T20,15,FALSE)</f>
        <v>claudemirgeo@icloud.com</v>
      </c>
      <c r="K2" s="56">
        <v>3021142432</v>
      </c>
      <c r="L2" s="86">
        <v>1.47E-2</v>
      </c>
      <c r="M2" s="240">
        <f t="shared" ref="M2:M4" si="0">L2/100</f>
        <v>1.47E-4</v>
      </c>
    </row>
    <row r="3" spans="1:13" ht="14.25" customHeight="1">
      <c r="A3" s="232">
        <v>33</v>
      </c>
      <c r="B3" s="237" t="str">
        <f>VLOOKUP(A3,Faturas!$A$4:$L$229,3,FALSE)</f>
        <v>Associação dos Moradores do Residencial Araçagy</v>
      </c>
      <c r="C3" s="231">
        <f>VLOOKUP(A3,Faturas!$A$4:$L$229,6,FALSE)</f>
        <v>3021149593</v>
      </c>
      <c r="D3" s="238" t="str">
        <f>VLOOKUP(A3,Faturas!$A$4:$L$229,8,FALSE)</f>
        <v>01/2026</v>
      </c>
      <c r="E3" s="239">
        <f>VLOOKUP(A3,Faturas!$A$4:$L$229,9,FALSE)</f>
        <v>633.22</v>
      </c>
      <c r="F3" s="239">
        <f>VLOOKUP(A3,Medições!$E$3:$AF$196,13,FALSE)</f>
        <v>660.25</v>
      </c>
      <c r="G3" s="239">
        <f>VLOOKUP(A3,Medições!$E$3:$AF$96,19,FALSE)</f>
        <v>111.74007500000005</v>
      </c>
      <c r="K3" s="56">
        <v>3021149593</v>
      </c>
      <c r="L3" s="86">
        <v>5.2499999999999998E-2</v>
      </c>
      <c r="M3" s="240">
        <f t="shared" si="0"/>
        <v>5.2499999999999997E-4</v>
      </c>
    </row>
    <row r="4" spans="1:13" ht="14.25" customHeight="1">
      <c r="A4" s="232">
        <v>34</v>
      </c>
      <c r="B4" s="241" t="str">
        <f>VLOOKUP(A4,Faturas!$A$4:$L$229,3,FALSE)</f>
        <v>Associação dos Moradores do Residencial Araçagy</v>
      </c>
      <c r="C4" s="231">
        <f>VLOOKUP(A4,Faturas!$A$4:$L$229,6,FALSE)</f>
        <v>3021142432</v>
      </c>
      <c r="D4" s="238" t="str">
        <f>VLOOKUP(A4,Faturas!$A$4:$L$229,8,FALSE)</f>
        <v>01/2026</v>
      </c>
      <c r="E4" s="239">
        <f>VLOOKUP(A4,Faturas!$A$4:$L$229,9,FALSE)</f>
        <v>110.17</v>
      </c>
      <c r="F4" s="239">
        <f>VLOOKUP(A4,Medições!$E$3:$AF$196,13,FALSE)</f>
        <v>114.86</v>
      </c>
      <c r="G4" s="239">
        <f>VLOOKUP(A4,Medições!$E$3:$AF$96,19,FALSE)</f>
        <v>19.438023999999999</v>
      </c>
      <c r="K4" s="56">
        <v>3021150559</v>
      </c>
      <c r="L4" s="86">
        <v>0.14899999999999999</v>
      </c>
      <c r="M4" s="240">
        <f t="shared" si="0"/>
        <v>1.49E-3</v>
      </c>
    </row>
    <row r="5" spans="1:13" ht="14.25" customHeight="1">
      <c r="A5" s="242">
        <v>8</v>
      </c>
      <c r="B5" s="234"/>
    </row>
    <row r="6" spans="1:13" ht="14.25" customHeight="1">
      <c r="B6" s="217" t="str">
        <f>"Fatura de Locação e e "&amp;B2&amp;" - Unidade "&amp;C2</f>
        <v>Fatura de Locação e e Associação dos Moradores do Residencial Araçagy - Unidade 3021150559</v>
      </c>
      <c r="D6" s="325" t="str">
        <f>"Fatura de Locação e e "&amp;B2&amp;" - Unidades "&amp;C2&amp;" ,"&amp;C3&amp;" e "&amp;C4</f>
        <v>Fatura de Locação e e Associação dos Moradores do Residencial Araçagy - Unidades 3021150559 ,3021149593 e 3021142432</v>
      </c>
      <c r="E6" s="310"/>
      <c r="F6" s="310"/>
      <c r="G6" s="310"/>
    </row>
    <row r="7" spans="1:13" ht="72" customHeight="1">
      <c r="B7" s="234" t="str">
        <f>"Prezados
Envio a fatura de locação e a medição relativo a locação da usina do mês de  "&amp;D2&amp;" beneficiando a unidade "&amp;C2&amp;"."</f>
        <v>Prezados
Envio a fatura de locação e a medição relativo a locação da usina do mês de  01/2026 beneficiando a unidade 3021150559.</v>
      </c>
      <c r="D7" s="326" t="str">
        <f>"Prezados
Envio as faturas de locação e as medições relativo a locação da usina do mês de  "&amp;D2&amp;" beneficiando as unidades com conta contrato "&amp;C2&amp;", "&amp;C3&amp;" e "&amp;C4&amp;"."</f>
        <v>Prezados
Envio as faturas de locação e as medições relativo a locação da usina do mês de  01/2026 beneficiando as unidades com conta contrato 3021150559, 3021149593 e 3021142432.</v>
      </c>
      <c r="E7" s="310"/>
      <c r="F7" s="310"/>
      <c r="G7" s="310"/>
    </row>
    <row r="8" spans="1:13" ht="21" customHeight="1">
      <c r="B8" s="234"/>
    </row>
    <row r="9" spans="1:13" ht="14.25" customHeight="1">
      <c r="B9" s="243" t="s">
        <v>36</v>
      </c>
      <c r="C9" s="243">
        <f>C2</f>
        <v>3021150559</v>
      </c>
      <c r="D9" s="243">
        <f>C3</f>
        <v>3021149593</v>
      </c>
      <c r="E9" s="243">
        <f>C4</f>
        <v>3021142432</v>
      </c>
      <c r="F9" s="243" t="s">
        <v>11</v>
      </c>
    </row>
    <row r="10" spans="1:13" ht="14.25" customHeight="1">
      <c r="B10" s="244" t="s">
        <v>276</v>
      </c>
      <c r="C10" s="175">
        <f>F2</f>
        <v>1528.95</v>
      </c>
      <c r="D10" s="175">
        <f>F3</f>
        <v>660.25</v>
      </c>
      <c r="E10" s="175">
        <f>F4</f>
        <v>114.86</v>
      </c>
      <c r="F10" s="175">
        <f t="shared" ref="F10:F12" si="1">C10+D10+E10</f>
        <v>2304.06</v>
      </c>
    </row>
    <row r="11" spans="1:13" ht="14.25" customHeight="1">
      <c r="B11" s="244" t="str">
        <f>"Valor da Locação da Usina em "&amp;D2</f>
        <v>Valor da Locação da Usina em 01/2026</v>
      </c>
      <c r="C11" s="177">
        <f>E2</f>
        <v>1466.48</v>
      </c>
      <c r="D11" s="177">
        <f>E3</f>
        <v>633.22</v>
      </c>
      <c r="E11" s="177">
        <f>E4</f>
        <v>110.17</v>
      </c>
      <c r="F11" s="175">
        <f t="shared" si="1"/>
        <v>2209.87</v>
      </c>
    </row>
    <row r="12" spans="1:13" ht="14.25" customHeight="1">
      <c r="B12" s="244" t="s">
        <v>277</v>
      </c>
      <c r="C12" s="177">
        <f>G2</f>
        <v>258.78718000000003</v>
      </c>
      <c r="D12" s="177">
        <f>G3</f>
        <v>111.74007500000005</v>
      </c>
      <c r="E12" s="177">
        <f>G4</f>
        <v>19.438023999999999</v>
      </c>
      <c r="F12" s="175">
        <f t="shared" si="1"/>
        <v>389.96527900000007</v>
      </c>
    </row>
    <row r="13" spans="1:13" ht="14.25" customHeight="1"/>
    <row r="14" spans="1:13" ht="14.25" customHeight="1"/>
    <row r="15" spans="1:13" ht="14.25" customHeight="1">
      <c r="B15" s="217" t="s">
        <v>278</v>
      </c>
    </row>
    <row r="16" spans="1:13" ht="14.25" customHeight="1">
      <c r="B16" s="217" t="s">
        <v>279</v>
      </c>
    </row>
    <row r="17" spans="2:2" ht="14.25" customHeight="1">
      <c r="B17" s="217" t="s">
        <v>182</v>
      </c>
    </row>
    <row r="18" spans="2:2" ht="14.25" customHeight="1"/>
    <row r="19" spans="2:2" ht="14.25" customHeight="1"/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6:G6"/>
    <mergeCell ref="D7:G7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Roteiro</vt:lpstr>
      <vt:lpstr>Cad.Usinas</vt:lpstr>
      <vt:lpstr>Cad.RateioConsumo</vt:lpstr>
      <vt:lpstr>Hist.Geração</vt:lpstr>
      <vt:lpstr>Hist.Consum</vt:lpstr>
      <vt:lpstr>Medições</vt:lpstr>
      <vt:lpstr>Faturas</vt:lpstr>
      <vt:lpstr>Hist.BT</vt:lpstr>
      <vt:lpstr>e-mail</vt:lpstr>
      <vt:lpstr>e-mail medição</vt:lpstr>
      <vt:lpstr>Faturas!Area_de_impressao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Makaron</dc:creator>
  <cp:lastModifiedBy>Usuario</cp:lastModifiedBy>
  <cp:lastPrinted>2026-02-05T13:32:04Z</cp:lastPrinted>
  <dcterms:created xsi:type="dcterms:W3CDTF">2025-07-17T20:49:17Z</dcterms:created>
  <dcterms:modified xsi:type="dcterms:W3CDTF">2026-02-06T03:12:47Z</dcterms:modified>
</cp:coreProperties>
</file>